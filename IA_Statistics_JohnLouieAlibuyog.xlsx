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Institutional Assessment\"/>
    </mc:Choice>
  </mc:AlternateContent>
  <xr:revisionPtr revIDLastSave="0" documentId="13_ncr:1_{32906DEF-FC5D-4FE0-BFAA-0BAAE5AD6A78}" xr6:coauthVersionLast="47" xr6:coauthVersionMax="47" xr10:uidLastSave="{00000000-0000-0000-0000-000000000000}"/>
  <bookViews>
    <workbookView xWindow="-120" yWindow="-120" windowWidth="29040" windowHeight="15840" xr2:uid="{00000000-000D-0000-FFFF-FFFF00000000}"/>
  </bookViews>
  <sheets>
    <sheet name="InstitutionalAssessment_transac" sheetId="2" r:id="rId1"/>
  </sheets>
  <definedNames>
    <definedName name="_xlchart.v1.0" hidden="1">InstitutionalAssessment_transac!$G$1</definedName>
    <definedName name="_xlchart.v1.1" hidden="1">InstitutionalAssessment_transac!$G$2:$G$211</definedName>
    <definedName name="ExternalData_1" localSheetId="0" hidden="1">InstitutionalAssessment_transac!$A$1:$G$211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 i="2" l="1"/>
  <c r="P9" i="2"/>
  <c r="N11" i="2"/>
  <c r="P4" i="2"/>
  <c r="P3" i="2"/>
  <c r="P2" i="2"/>
  <c r="L11" i="2"/>
  <c r="L10" i="2"/>
  <c r="L9" i="2"/>
  <c r="K8" i="2"/>
  <c r="K7" i="2"/>
  <c r="K6" i="2"/>
  <c r="K4" i="2"/>
  <c r="K3"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A6818F-A8B6-4C45-BFBC-32A0FA3EA5EB}" keepAlive="1" name="Query - InstitutionalAssessment_transactions" description="Connection to the 'InstitutionalAssessment_transactions' query in the workbook." type="5" refreshedVersion="8" background="1" saveData="1">
    <dbPr connection="Provider=Microsoft.Mashup.OleDb.1;Data Source=$Workbook$;Location=InstitutionalAssessment_transactions;Extended Properties=&quot;&quot;" command="SELECT * FROM [InstitutionalAssessment_transactions]"/>
  </connection>
</connections>
</file>

<file path=xl/sharedStrings.xml><?xml version="1.0" encoding="utf-8"?>
<sst xmlns="http://schemas.openxmlformats.org/spreadsheetml/2006/main" count="654" uniqueCount="248">
  <si>
    <t>transaction_id</t>
  </si>
  <si>
    <t>date</t>
  </si>
  <si>
    <t>store_id</t>
  </si>
  <si>
    <t>product_id</t>
  </si>
  <si>
    <t>units</t>
  </si>
  <si>
    <t>unit_price</t>
  </si>
  <si>
    <t>total_amount</t>
  </si>
  <si>
    <t>T00115</t>
  </si>
  <si>
    <t>S004</t>
  </si>
  <si>
    <t>P201</t>
  </si>
  <si>
    <t>T00142</t>
  </si>
  <si>
    <t>S006</t>
  </si>
  <si>
    <t>P301</t>
  </si>
  <si>
    <t>T00058</t>
  </si>
  <si>
    <t>P202</t>
  </si>
  <si>
    <t>T00124</t>
  </si>
  <si>
    <t>P101</t>
  </si>
  <si>
    <t>T00107</t>
  </si>
  <si>
    <t>S002</t>
  </si>
  <si>
    <t>T00143</t>
  </si>
  <si>
    <t>P402</t>
  </si>
  <si>
    <t>T00028</t>
  </si>
  <si>
    <t>P403</t>
  </si>
  <si>
    <t>T00079</t>
  </si>
  <si>
    <t>P204</t>
  </si>
  <si>
    <t>T00032</t>
  </si>
  <si>
    <t>S001</t>
  </si>
  <si>
    <t>P104</t>
  </si>
  <si>
    <t>T00146</t>
  </si>
  <si>
    <t>S003</t>
  </si>
  <si>
    <t>T00120</t>
  </si>
  <si>
    <t>S005</t>
  </si>
  <si>
    <t>T00052</t>
  </si>
  <si>
    <t>P404</t>
  </si>
  <si>
    <t>T00081</t>
  </si>
  <si>
    <t>T00080</t>
  </si>
  <si>
    <t>T00065</t>
  </si>
  <si>
    <t>T00166</t>
  </si>
  <si>
    <t>T00094</t>
  </si>
  <si>
    <t>P302</t>
  </si>
  <si>
    <t>T00123</t>
  </si>
  <si>
    <t>T00145</t>
  </si>
  <si>
    <t>P401</t>
  </si>
  <si>
    <t>T00056</t>
  </si>
  <si>
    <t>P102</t>
  </si>
  <si>
    <t>T00180</t>
  </si>
  <si>
    <t>T00178</t>
  </si>
  <si>
    <t>T00016</t>
  </si>
  <si>
    <t>T00067</t>
  </si>
  <si>
    <t>P304</t>
  </si>
  <si>
    <t>T00101</t>
  </si>
  <si>
    <t>P103</t>
  </si>
  <si>
    <t>T00186</t>
  </si>
  <si>
    <t>P303</t>
  </si>
  <si>
    <t>T00069</t>
  </si>
  <si>
    <t>T00194</t>
  </si>
  <si>
    <t>T00027</t>
  </si>
  <si>
    <t>T00155</t>
  </si>
  <si>
    <t>T00104</t>
  </si>
  <si>
    <t>T00150</t>
  </si>
  <si>
    <t>T00041</t>
  </si>
  <si>
    <t>T00071</t>
  </si>
  <si>
    <t>P203</t>
  </si>
  <si>
    <t>T00183</t>
  </si>
  <si>
    <t>T00162</t>
  </si>
  <si>
    <t>T00053</t>
  </si>
  <si>
    <t>T00001</t>
  </si>
  <si>
    <t>T00154</t>
  </si>
  <si>
    <t>T00075</t>
  </si>
  <si>
    <t>T00108</t>
  </si>
  <si>
    <t>T00091</t>
  </si>
  <si>
    <t>T00093</t>
  </si>
  <si>
    <t>T00149</t>
  </si>
  <si>
    <t>T00187</t>
  </si>
  <si>
    <t>T00072</t>
  </si>
  <si>
    <t>T00083</t>
  </si>
  <si>
    <t>T00193</t>
  </si>
  <si>
    <t>T00022</t>
  </si>
  <si>
    <t>T00048</t>
  </si>
  <si>
    <t>T00019</t>
  </si>
  <si>
    <t>T00175</t>
  </si>
  <si>
    <t>T00131</t>
  </si>
  <si>
    <t>T00011</t>
  </si>
  <si>
    <t>T00134</t>
  </si>
  <si>
    <t>T00153</t>
  </si>
  <si>
    <t>T00158</t>
  </si>
  <si>
    <t>T00034</t>
  </si>
  <si>
    <t>T00164</t>
  </si>
  <si>
    <t>T00110</t>
  </si>
  <si>
    <t>T00035</t>
  </si>
  <si>
    <t>T00147</t>
  </si>
  <si>
    <t>T00009</t>
  </si>
  <si>
    <t>T00141</t>
  </si>
  <si>
    <t>T00023</t>
  </si>
  <si>
    <t>T00054</t>
  </si>
  <si>
    <t>T00042</t>
  </si>
  <si>
    <t>T00095</t>
  </si>
  <si>
    <t>T00151</t>
  </si>
  <si>
    <t>T00017</t>
  </si>
  <si>
    <t>T00140</t>
  </si>
  <si>
    <t>T00005</t>
  </si>
  <si>
    <t>T00006</t>
  </si>
  <si>
    <t>T00013</t>
  </si>
  <si>
    <t>T00163</t>
  </si>
  <si>
    <t>T00109</t>
  </si>
  <si>
    <t>T00025</t>
  </si>
  <si>
    <t>T00029</t>
  </si>
  <si>
    <t>T00088</t>
  </si>
  <si>
    <t>T00197</t>
  </si>
  <si>
    <t>T00030</t>
  </si>
  <si>
    <t>T00179</t>
  </si>
  <si>
    <t>T00064</t>
  </si>
  <si>
    <t>T00078</t>
  </si>
  <si>
    <t>T00007</t>
  </si>
  <si>
    <t>T00073</t>
  </si>
  <si>
    <t>T00126</t>
  </si>
  <si>
    <t>T00036</t>
  </si>
  <si>
    <t>T00051</t>
  </si>
  <si>
    <t>T00172</t>
  </si>
  <si>
    <t>T00003</t>
  </si>
  <si>
    <t>T00097</t>
  </si>
  <si>
    <t>T00090</t>
  </si>
  <si>
    <t>T00144</t>
  </si>
  <si>
    <t>T00100</t>
  </si>
  <si>
    <t>T00046</t>
  </si>
  <si>
    <t>T00182</t>
  </si>
  <si>
    <t>T00049</t>
  </si>
  <si>
    <t>T00031</t>
  </si>
  <si>
    <t>T00014</t>
  </si>
  <si>
    <t>T00188</t>
  </si>
  <si>
    <t>T00050</t>
  </si>
  <si>
    <t>T00156</t>
  </si>
  <si>
    <t>T00190</t>
  </si>
  <si>
    <t>T00176</t>
  </si>
  <si>
    <t>T00195</t>
  </si>
  <si>
    <t>T00089</t>
  </si>
  <si>
    <t>T00055</t>
  </si>
  <si>
    <t>T00169</t>
  </si>
  <si>
    <t>T00198</t>
  </si>
  <si>
    <t>T00148</t>
  </si>
  <si>
    <t>T00138</t>
  </si>
  <si>
    <t>T00057</t>
  </si>
  <si>
    <t>T00165</t>
  </si>
  <si>
    <t>T00171</t>
  </si>
  <si>
    <t>T00070</t>
  </si>
  <si>
    <t>T00177</t>
  </si>
  <si>
    <t>T00133</t>
  </si>
  <si>
    <t>T00174</t>
  </si>
  <si>
    <t>T00132</t>
  </si>
  <si>
    <t>T00103</t>
  </si>
  <si>
    <t>T00116</t>
  </si>
  <si>
    <t>T00002</t>
  </si>
  <si>
    <t>T00086</t>
  </si>
  <si>
    <t>T00130</t>
  </si>
  <si>
    <t>T00118</t>
  </si>
  <si>
    <t>T00066</t>
  </si>
  <si>
    <t>T00119</t>
  </si>
  <si>
    <t>T00205</t>
  </si>
  <si>
    <t>T00184</t>
  </si>
  <si>
    <t>T00128</t>
  </si>
  <si>
    <t>T00062</t>
  </si>
  <si>
    <t>T00200</t>
  </si>
  <si>
    <t>T00173</t>
  </si>
  <si>
    <t>T00045</t>
  </si>
  <si>
    <t>T00044</t>
  </si>
  <si>
    <t>T00047</t>
  </si>
  <si>
    <t>T00203</t>
  </si>
  <si>
    <t>T00136</t>
  </si>
  <si>
    <t>T00063</t>
  </si>
  <si>
    <t>T00038</t>
  </si>
  <si>
    <t>T00111</t>
  </si>
  <si>
    <t>T00096</t>
  </si>
  <si>
    <t>T00092</t>
  </si>
  <si>
    <t>T00076</t>
  </si>
  <si>
    <t>T00015</t>
  </si>
  <si>
    <t>T00084</t>
  </si>
  <si>
    <t>T00202</t>
  </si>
  <si>
    <t>T00008</t>
  </si>
  <si>
    <t>T00077</t>
  </si>
  <si>
    <t>T00043</t>
  </si>
  <si>
    <t>T00114</t>
  </si>
  <si>
    <t>T00157</t>
  </si>
  <si>
    <t>T00189</t>
  </si>
  <si>
    <t>T00112</t>
  </si>
  <si>
    <t>T00024</t>
  </si>
  <si>
    <t>T00059</t>
  </si>
  <si>
    <t>T00074</t>
  </si>
  <si>
    <t>T00061</t>
  </si>
  <si>
    <t>T00018</t>
  </si>
  <si>
    <t>T00159</t>
  </si>
  <si>
    <t>T00196</t>
  </si>
  <si>
    <t>T00139</t>
  </si>
  <si>
    <t>T00125</t>
  </si>
  <si>
    <t>T00161</t>
  </si>
  <si>
    <t>T00201</t>
  </si>
  <si>
    <t>T00137</t>
  </si>
  <si>
    <t>T00192</t>
  </si>
  <si>
    <t>T00021</t>
  </si>
  <si>
    <t>T00204</t>
  </si>
  <si>
    <t>T00102</t>
  </si>
  <si>
    <t>T00160</t>
  </si>
  <si>
    <t>T00087</t>
  </si>
  <si>
    <t>T00068</t>
  </si>
  <si>
    <t>T00121</t>
  </si>
  <si>
    <t>T00020</t>
  </si>
  <si>
    <t>T00040</t>
  </si>
  <si>
    <t>T00168</t>
  </si>
  <si>
    <t>T00105</t>
  </si>
  <si>
    <t>T00037</t>
  </si>
  <si>
    <t>T00185</t>
  </si>
  <si>
    <t>T00004</t>
  </si>
  <si>
    <t>T00117</t>
  </si>
  <si>
    <t>T00135</t>
  </si>
  <si>
    <t>T00113</t>
  </si>
  <si>
    <t>T00026</t>
  </si>
  <si>
    <t>T00085</t>
  </si>
  <si>
    <t>T00152</t>
  </si>
  <si>
    <t>T00129</t>
  </si>
  <si>
    <t>T00033</t>
  </si>
  <si>
    <t>T00010</t>
  </si>
  <si>
    <t>T00127</t>
  </si>
  <si>
    <t>T00039</t>
  </si>
  <si>
    <t>T00167</t>
  </si>
  <si>
    <t>T00170</t>
  </si>
  <si>
    <t>T00099</t>
  </si>
  <si>
    <t>T00098</t>
  </si>
  <si>
    <t>T00181</t>
  </si>
  <si>
    <t>T00122</t>
  </si>
  <si>
    <t>T00191</t>
  </si>
  <si>
    <t>T00082</t>
  </si>
  <si>
    <t>T00012</t>
  </si>
  <si>
    <t>T00106</t>
  </si>
  <si>
    <t>T00199</t>
  </si>
  <si>
    <t>T00060</t>
  </si>
  <si>
    <t>Total Amount:</t>
  </si>
  <si>
    <t>Mean:</t>
  </si>
  <si>
    <t>Mode:</t>
  </si>
  <si>
    <t xml:space="preserve">Median: </t>
  </si>
  <si>
    <t>range:</t>
  </si>
  <si>
    <t>Variance:</t>
  </si>
  <si>
    <t>Standard Deviation:</t>
  </si>
  <si>
    <t>Quartiles</t>
  </si>
  <si>
    <t>Q1:</t>
  </si>
  <si>
    <t>Q2:</t>
  </si>
  <si>
    <t>Q3:</t>
  </si>
  <si>
    <t xml:space="preserve">Units: </t>
  </si>
  <si>
    <r>
      <t xml:space="preserve">Write 3–4 sentences interpreting the centre and spread </t>
    </r>
    <r>
      <rPr>
        <b/>
        <sz val="11"/>
        <color theme="1"/>
        <rFont val="Calibri"/>
        <family val="2"/>
        <scheme val="minor"/>
      </rPr>
      <t>(e.g., what the mean vs. median tells you).</t>
    </r>
  </si>
  <si>
    <t>There is a hude gap between the mean and the median in the Total amount, which implies that there is an outlier. Upon observing and using the Interquartile Range (IQR) Method, we can say that there is indeed outliers and 2750 is the largest/fardest outlier in the Total amount. The Total amount of 75 is the most common value. While the Units data is highly symmetrical and predictable since its mean of 5.44, median of 5, and mode of 5 are almost identical. Finally, the massive standard deviation, 410.00, and wide range, 2,740, for the Total Amount reveal a high degree of variability and spread in customer spending, whereas the physical number of units purchased per transaction remains tightly clustered.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</si>
</sst>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0" fontId="0" fillId="2" borderId="0" xfId="0" applyFill="1" applyAlignment="1">
      <alignment horizontal="left" vertical="top" wrapText="1"/>
    </xf>
  </cellXfs>
  <cellStyles count="1">
    <cellStyle name="Normal" xfId="0" builtinId="0"/>
  </cellStyles>
  <dxfs count="4">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of Total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Histogram of Total Amount</a:t>
          </a:r>
        </a:p>
      </cx:txPr>
    </cx:title>
    <cx:plotArea>
      <cx:plotAreaRegion>
        <cx:series layoutId="clusteredColumn" uniqueId="{00000000-2B60-4F41-ADDB-C53D6F0D9000}">
          <cx:tx>
            <cx:txData>
              <cx:f>_xlchart.v1.0</cx:f>
              <cx:v>total_amount</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19049</xdr:colOff>
      <xdr:row>12</xdr:row>
      <xdr:rowOff>23811</xdr:rowOff>
    </xdr:from>
    <xdr:to>
      <xdr:col>17</xdr:col>
      <xdr:colOff>28575</xdr:colOff>
      <xdr:row>30</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E02ED9A-D29C-513D-CD78-BD557518EB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34124" y="2309811"/>
              <a:ext cx="6400801" cy="35766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D01311-B02C-4BFC-8151-F69DD56F882D}" autoFormatId="16" applyNumberFormats="0" applyBorderFormats="0" applyFontFormats="0" applyPatternFormats="0" applyAlignmentFormats="0" applyWidthHeightFormats="0">
  <queryTableRefresh nextId="8">
    <queryTableFields count="7">
      <queryTableField id="1" name="transaction_id" tableColumnId="1"/>
      <queryTableField id="2" name="date" tableColumnId="2"/>
      <queryTableField id="3" name="store_id" tableColumnId="3"/>
      <queryTableField id="4" name="product_id" tableColumnId="4"/>
      <queryTableField id="5" name="units" tableColumnId="5"/>
      <queryTableField id="6" name="unit_price" tableColumnId="6"/>
      <queryTableField id="7" name="total_amoun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B899FF-3528-4602-96CB-56760EB20F48}" name="InstitutionalAssessment_transactions" displayName="InstitutionalAssessment_transactions" ref="A1:G211" tableType="queryTable" totalsRowShown="0">
  <autoFilter ref="A1:G211" xr:uid="{EEB899FF-3528-4602-96CB-56760EB20F48}"/>
  <tableColumns count="7">
    <tableColumn id="1" xr3:uid="{57CB44B3-B8EC-45E1-8605-5E68CAA94DDF}" uniqueName="1" name="transaction_id" queryTableFieldId="1" dataDxfId="3"/>
    <tableColumn id="2" xr3:uid="{DEF7B3B3-DFE0-4852-8A1B-B731C3B15920}" uniqueName="2" name="date" queryTableFieldId="2" dataDxfId="2"/>
    <tableColumn id="3" xr3:uid="{D591DEB9-D62E-4694-A317-22C5707CC2E9}" uniqueName="3" name="store_id" queryTableFieldId="3" dataDxfId="1"/>
    <tableColumn id="4" xr3:uid="{6FE642BA-8989-48AA-82FB-3C2C2EFC74F5}" uniqueName="4" name="product_id" queryTableFieldId="4" dataDxfId="0"/>
    <tableColumn id="5" xr3:uid="{A998348E-31E3-487E-A2F0-4BC7B82DB5C3}" uniqueName="5" name="units" queryTableFieldId="5"/>
    <tableColumn id="6" xr3:uid="{C5970738-197B-428F-8CE4-5A30CFB64416}" uniqueName="6" name="unit_price" queryTableFieldId="6"/>
    <tableColumn id="7" xr3:uid="{A112BEB6-975F-4CE3-B257-1C7C0D258816}" uniqueName="7" name="total_amoun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7DAE-32E2-458C-BCA3-4F3CC4267390}">
  <dimension ref="A1:Q211"/>
  <sheetViews>
    <sheetView tabSelected="1" zoomScale="85" zoomScaleNormal="85" workbookViewId="0">
      <selection activeCell="W23" sqref="W23"/>
    </sheetView>
  </sheetViews>
  <sheetFormatPr defaultRowHeight="15" x14ac:dyDescent="0.25"/>
  <cols>
    <col min="1" max="1" width="16" bestFit="1" customWidth="1"/>
    <col min="2" max="2" width="10.7109375" bestFit="1" customWidth="1"/>
    <col min="3" max="3" width="10.5703125" bestFit="1" customWidth="1"/>
    <col min="4" max="4" width="12.85546875" bestFit="1" customWidth="1"/>
    <col min="5" max="5" width="7.7109375" bestFit="1" customWidth="1"/>
    <col min="6" max="6" width="12.28515625" bestFit="1" customWidth="1"/>
    <col min="7" max="7" width="15.42578125" bestFit="1" customWidth="1"/>
    <col min="9" max="9" width="13.140625" bestFit="1" customWidth="1"/>
    <col min="10" max="10" width="18.7109375" bestFit="1" customWidth="1"/>
  </cols>
  <sheetData>
    <row r="1" spans="1:16" x14ac:dyDescent="0.25">
      <c r="A1" t="s">
        <v>0</v>
      </c>
      <c r="B1" t="s">
        <v>1</v>
      </c>
      <c r="C1" t="s">
        <v>2</v>
      </c>
      <c r="D1" t="s">
        <v>3</v>
      </c>
      <c r="E1" t="s">
        <v>4</v>
      </c>
      <c r="F1" t="s">
        <v>5</v>
      </c>
      <c r="G1" t="s">
        <v>6</v>
      </c>
    </row>
    <row r="2" spans="1:16" x14ac:dyDescent="0.25">
      <c r="A2" t="s">
        <v>7</v>
      </c>
      <c r="B2" s="1">
        <v>45690</v>
      </c>
      <c r="C2" t="s">
        <v>8</v>
      </c>
      <c r="D2" t="s">
        <v>9</v>
      </c>
      <c r="E2">
        <v>4</v>
      </c>
      <c r="F2">
        <v>22</v>
      </c>
      <c r="G2">
        <v>88</v>
      </c>
      <c r="I2" t="s">
        <v>234</v>
      </c>
      <c r="J2" t="s">
        <v>235</v>
      </c>
      <c r="K2" s="2">
        <f>AVERAGE(G:G)</f>
        <v>276.62439024390244</v>
      </c>
      <c r="N2" t="s">
        <v>245</v>
      </c>
      <c r="O2" t="s">
        <v>235</v>
      </c>
      <c r="P2" s="2">
        <f>AVERAGE(E:E)</f>
        <v>5.4390243902439028</v>
      </c>
    </row>
    <row r="3" spans="1:16" x14ac:dyDescent="0.25">
      <c r="A3" t="s">
        <v>10</v>
      </c>
      <c r="B3" s="1">
        <v>45933</v>
      </c>
      <c r="C3" t="s">
        <v>11</v>
      </c>
      <c r="D3" t="s">
        <v>12</v>
      </c>
      <c r="E3">
        <v>10</v>
      </c>
      <c r="F3">
        <v>275</v>
      </c>
      <c r="G3">
        <v>2750</v>
      </c>
      <c r="J3" t="s">
        <v>237</v>
      </c>
      <c r="K3" s="2">
        <f>MEDIAN(G:G)</f>
        <v>150</v>
      </c>
      <c r="O3" t="s">
        <v>237</v>
      </c>
      <c r="P3" s="2">
        <f>MEDIAN(E:E)</f>
        <v>5</v>
      </c>
    </row>
    <row r="4" spans="1:16" x14ac:dyDescent="0.25">
      <c r="A4" t="s">
        <v>13</v>
      </c>
      <c r="B4" s="1">
        <v>45918</v>
      </c>
      <c r="C4" t="s">
        <v>8</v>
      </c>
      <c r="D4" t="s">
        <v>14</v>
      </c>
      <c r="E4">
        <v>1</v>
      </c>
      <c r="F4">
        <v>20</v>
      </c>
      <c r="G4">
        <v>20</v>
      </c>
      <c r="J4" t="s">
        <v>236</v>
      </c>
      <c r="K4" s="2">
        <f>_xlfn.MODE.SNGL(G:G)</f>
        <v>75</v>
      </c>
      <c r="O4" t="s">
        <v>236</v>
      </c>
      <c r="P4" s="2">
        <f>_xlfn.MODE.SNGL(E:E)</f>
        <v>5</v>
      </c>
    </row>
    <row r="5" spans="1:16" x14ac:dyDescent="0.25">
      <c r="A5" t="s">
        <v>15</v>
      </c>
      <c r="B5" s="1">
        <v>45987</v>
      </c>
      <c r="C5" t="s">
        <v>11</v>
      </c>
      <c r="D5" t="s">
        <v>16</v>
      </c>
      <c r="E5">
        <v>2</v>
      </c>
      <c r="F5">
        <v>65</v>
      </c>
      <c r="G5">
        <v>130</v>
      </c>
    </row>
    <row r="6" spans="1:16" x14ac:dyDescent="0.25">
      <c r="A6" t="s">
        <v>17</v>
      </c>
      <c r="B6" s="1">
        <v>45895</v>
      </c>
      <c r="C6" t="s">
        <v>18</v>
      </c>
      <c r="D6" t="s">
        <v>14</v>
      </c>
      <c r="E6">
        <v>9</v>
      </c>
      <c r="F6">
        <v>20</v>
      </c>
      <c r="G6">
        <v>180</v>
      </c>
      <c r="J6" t="s">
        <v>238</v>
      </c>
      <c r="K6" s="2">
        <f>MAX(G:G)- MIN(G:G)</f>
        <v>2740</v>
      </c>
    </row>
    <row r="7" spans="1:16" x14ac:dyDescent="0.25">
      <c r="A7" t="s">
        <v>19</v>
      </c>
      <c r="B7" s="1">
        <v>45795</v>
      </c>
      <c r="C7" t="s">
        <v>8</v>
      </c>
      <c r="D7" t="s">
        <v>20</v>
      </c>
      <c r="E7">
        <v>10</v>
      </c>
      <c r="F7">
        <v>85</v>
      </c>
      <c r="G7">
        <v>850</v>
      </c>
      <c r="J7" t="s">
        <v>239</v>
      </c>
      <c r="K7" s="2">
        <f>_xlfn.VAR.S(G:G)</f>
        <v>168102.49057867049</v>
      </c>
    </row>
    <row r="8" spans="1:16" x14ac:dyDescent="0.25">
      <c r="A8" t="s">
        <v>21</v>
      </c>
      <c r="B8" s="1">
        <v>45792</v>
      </c>
      <c r="C8" t="s">
        <v>18</v>
      </c>
      <c r="D8" t="s">
        <v>22</v>
      </c>
      <c r="E8">
        <v>1</v>
      </c>
      <c r="F8">
        <v>95</v>
      </c>
      <c r="G8">
        <v>95</v>
      </c>
      <c r="J8" t="s">
        <v>240</v>
      </c>
      <c r="K8" s="2">
        <f>_xlfn.STDEV.S(G:G)</f>
        <v>410.00303727981151</v>
      </c>
    </row>
    <row r="9" spans="1:16" x14ac:dyDescent="0.25">
      <c r="A9" t="s">
        <v>23</v>
      </c>
      <c r="B9" s="1">
        <v>45839</v>
      </c>
      <c r="C9" t="s">
        <v>11</v>
      </c>
      <c r="D9" t="s">
        <v>24</v>
      </c>
      <c r="E9">
        <v>2</v>
      </c>
      <c r="F9">
        <v>15</v>
      </c>
      <c r="G9">
        <v>30</v>
      </c>
      <c r="J9" t="s">
        <v>241</v>
      </c>
      <c r="K9" t="s">
        <v>242</v>
      </c>
      <c r="L9" s="2">
        <f>_xlfn.QUARTILE.INC(InstitutionalAssessment_transactions[total_amount],1)</f>
        <v>75</v>
      </c>
      <c r="P9">
        <f>L9-(1.5*N11)</f>
        <v>-232.5</v>
      </c>
    </row>
    <row r="10" spans="1:16" x14ac:dyDescent="0.25">
      <c r="A10" t="s">
        <v>25</v>
      </c>
      <c r="B10" s="1">
        <v>45815</v>
      </c>
      <c r="C10" t="s">
        <v>26</v>
      </c>
      <c r="D10" t="s">
        <v>27</v>
      </c>
      <c r="E10">
        <v>6</v>
      </c>
      <c r="F10">
        <v>18</v>
      </c>
      <c r="G10">
        <v>108</v>
      </c>
      <c r="K10" t="s">
        <v>243</v>
      </c>
      <c r="L10" s="2">
        <f>_xlfn.QUARTILE.INC(InstitutionalAssessment_transactions[total_amount],2)</f>
        <v>150</v>
      </c>
      <c r="P10">
        <f>L11+(1.5*N11)</f>
        <v>587.5</v>
      </c>
    </row>
    <row r="11" spans="1:16" x14ac:dyDescent="0.25">
      <c r="A11" t="s">
        <v>28</v>
      </c>
      <c r="B11" s="1">
        <v>45766</v>
      </c>
      <c r="C11" t="s">
        <v>29</v>
      </c>
      <c r="D11" t="s">
        <v>14</v>
      </c>
      <c r="E11">
        <v>8</v>
      </c>
      <c r="F11">
        <v>20</v>
      </c>
      <c r="G11">
        <v>160</v>
      </c>
      <c r="K11" t="s">
        <v>244</v>
      </c>
      <c r="L11" s="2">
        <f>_xlfn.QUARTILE.INC(InstitutionalAssessment_transactions[total_amount],3)</f>
        <v>280</v>
      </c>
      <c r="N11">
        <f>L11-L9</f>
        <v>205</v>
      </c>
    </row>
    <row r="12" spans="1:16" x14ac:dyDescent="0.25">
      <c r="A12" t="s">
        <v>30</v>
      </c>
      <c r="B12" s="1">
        <v>45770</v>
      </c>
      <c r="C12" t="s">
        <v>31</v>
      </c>
      <c r="D12" t="s">
        <v>24</v>
      </c>
      <c r="E12">
        <v>8</v>
      </c>
      <c r="F12">
        <v>15</v>
      </c>
      <c r="G12">
        <v>120</v>
      </c>
    </row>
    <row r="13" spans="1:16" x14ac:dyDescent="0.25">
      <c r="A13" t="s">
        <v>32</v>
      </c>
      <c r="B13" s="1">
        <v>45863</v>
      </c>
      <c r="C13" t="s">
        <v>8</v>
      </c>
      <c r="D13" t="s">
        <v>33</v>
      </c>
      <c r="E13">
        <v>4</v>
      </c>
      <c r="F13">
        <v>12</v>
      </c>
      <c r="G13">
        <v>48</v>
      </c>
    </row>
    <row r="14" spans="1:16" x14ac:dyDescent="0.25">
      <c r="A14" t="s">
        <v>34</v>
      </c>
      <c r="B14" s="1">
        <v>45828</v>
      </c>
      <c r="C14" t="s">
        <v>8</v>
      </c>
      <c r="D14" t="s">
        <v>16</v>
      </c>
      <c r="E14">
        <v>3</v>
      </c>
      <c r="F14">
        <v>65</v>
      </c>
      <c r="G14">
        <v>195</v>
      </c>
    </row>
    <row r="15" spans="1:16" x14ac:dyDescent="0.25">
      <c r="A15" t="s">
        <v>35</v>
      </c>
      <c r="B15" s="1">
        <v>45741</v>
      </c>
      <c r="C15" t="s">
        <v>8</v>
      </c>
      <c r="D15" t="s">
        <v>9</v>
      </c>
      <c r="E15">
        <v>4</v>
      </c>
      <c r="F15">
        <v>22</v>
      </c>
      <c r="G15">
        <v>88</v>
      </c>
    </row>
    <row r="16" spans="1:16" x14ac:dyDescent="0.25">
      <c r="A16" t="s">
        <v>36</v>
      </c>
      <c r="B16" s="1">
        <v>45933</v>
      </c>
      <c r="C16" t="s">
        <v>31</v>
      </c>
      <c r="D16" t="s">
        <v>27</v>
      </c>
      <c r="E16">
        <v>2</v>
      </c>
      <c r="F16">
        <v>18</v>
      </c>
      <c r="G16">
        <v>36</v>
      </c>
    </row>
    <row r="17" spans="1:7" x14ac:dyDescent="0.25">
      <c r="A17" t="s">
        <v>37</v>
      </c>
      <c r="B17" s="1">
        <v>45871</v>
      </c>
      <c r="C17" t="s">
        <v>18</v>
      </c>
      <c r="D17" t="s">
        <v>27</v>
      </c>
      <c r="E17">
        <v>9</v>
      </c>
      <c r="F17">
        <v>18</v>
      </c>
      <c r="G17">
        <v>162</v>
      </c>
    </row>
    <row r="18" spans="1:7" x14ac:dyDescent="0.25">
      <c r="A18" t="s">
        <v>38</v>
      </c>
      <c r="B18" s="1">
        <v>45816</v>
      </c>
      <c r="C18" t="s">
        <v>11</v>
      </c>
      <c r="D18" t="s">
        <v>39</v>
      </c>
      <c r="E18">
        <v>9</v>
      </c>
      <c r="F18">
        <v>110</v>
      </c>
      <c r="G18">
        <v>990</v>
      </c>
    </row>
    <row r="19" spans="1:7" x14ac:dyDescent="0.25">
      <c r="A19" t="s">
        <v>40</v>
      </c>
      <c r="B19" s="1">
        <v>45961</v>
      </c>
      <c r="C19" t="s">
        <v>31</v>
      </c>
      <c r="D19" t="s">
        <v>16</v>
      </c>
      <c r="E19">
        <v>7</v>
      </c>
      <c r="F19">
        <v>65</v>
      </c>
      <c r="G19">
        <v>455</v>
      </c>
    </row>
    <row r="20" spans="1:7" x14ac:dyDescent="0.25">
      <c r="A20" t="s">
        <v>41</v>
      </c>
      <c r="B20" s="1">
        <v>45672</v>
      </c>
      <c r="C20" t="s">
        <v>8</v>
      </c>
      <c r="D20" t="s">
        <v>42</v>
      </c>
      <c r="E20">
        <v>6</v>
      </c>
      <c r="F20">
        <v>45</v>
      </c>
      <c r="G20">
        <v>270</v>
      </c>
    </row>
    <row r="21" spans="1:7" x14ac:dyDescent="0.25">
      <c r="A21" t="s">
        <v>43</v>
      </c>
      <c r="B21" s="1">
        <v>45935</v>
      </c>
      <c r="C21" t="s">
        <v>18</v>
      </c>
      <c r="D21" t="s">
        <v>44</v>
      </c>
      <c r="E21">
        <v>10</v>
      </c>
      <c r="F21">
        <v>10</v>
      </c>
      <c r="G21">
        <v>100</v>
      </c>
    </row>
    <row r="22" spans="1:7" x14ac:dyDescent="0.25">
      <c r="A22" t="s">
        <v>45</v>
      </c>
      <c r="B22" s="1">
        <v>45964</v>
      </c>
      <c r="C22" t="s">
        <v>8</v>
      </c>
      <c r="D22" t="s">
        <v>22</v>
      </c>
      <c r="E22">
        <v>2</v>
      </c>
      <c r="F22">
        <v>95</v>
      </c>
      <c r="G22">
        <v>190</v>
      </c>
    </row>
    <row r="23" spans="1:7" x14ac:dyDescent="0.25">
      <c r="A23" t="s">
        <v>46</v>
      </c>
      <c r="B23" s="1">
        <v>45897</v>
      </c>
      <c r="C23" t="s">
        <v>29</v>
      </c>
      <c r="D23" t="s">
        <v>22</v>
      </c>
      <c r="E23">
        <v>2</v>
      </c>
      <c r="F23">
        <v>95</v>
      </c>
      <c r="G23">
        <v>190</v>
      </c>
    </row>
    <row r="24" spans="1:7" x14ac:dyDescent="0.25">
      <c r="A24" t="s">
        <v>47</v>
      </c>
      <c r="B24" s="1">
        <v>45894</v>
      </c>
      <c r="C24" t="s">
        <v>31</v>
      </c>
      <c r="D24" t="s">
        <v>24</v>
      </c>
      <c r="E24">
        <v>3</v>
      </c>
      <c r="F24">
        <v>15</v>
      </c>
      <c r="G24">
        <v>45</v>
      </c>
    </row>
    <row r="25" spans="1:7" x14ac:dyDescent="0.25">
      <c r="A25" t="s">
        <v>48</v>
      </c>
      <c r="B25" s="1">
        <v>45738</v>
      </c>
      <c r="C25" t="s">
        <v>18</v>
      </c>
      <c r="D25" t="s">
        <v>49</v>
      </c>
      <c r="E25">
        <v>5</v>
      </c>
      <c r="F25">
        <v>10</v>
      </c>
      <c r="G25">
        <v>50</v>
      </c>
    </row>
    <row r="26" spans="1:7" x14ac:dyDescent="0.25">
      <c r="A26" t="s">
        <v>50</v>
      </c>
      <c r="B26" s="1">
        <v>45921</v>
      </c>
      <c r="C26" t="s">
        <v>11</v>
      </c>
      <c r="D26" t="s">
        <v>51</v>
      </c>
      <c r="E26">
        <v>5</v>
      </c>
      <c r="F26">
        <v>15</v>
      </c>
      <c r="G26">
        <v>75</v>
      </c>
    </row>
    <row r="27" spans="1:7" x14ac:dyDescent="0.25">
      <c r="A27" t="s">
        <v>52</v>
      </c>
      <c r="B27" s="1">
        <v>46001</v>
      </c>
      <c r="C27" t="s">
        <v>8</v>
      </c>
      <c r="D27" t="s">
        <v>53</v>
      </c>
      <c r="E27">
        <v>6</v>
      </c>
      <c r="F27">
        <v>28</v>
      </c>
      <c r="G27">
        <v>168</v>
      </c>
    </row>
    <row r="28" spans="1:7" x14ac:dyDescent="0.25">
      <c r="A28" t="s">
        <v>54</v>
      </c>
      <c r="B28" s="1">
        <v>45726</v>
      </c>
      <c r="C28" t="s">
        <v>26</v>
      </c>
      <c r="D28" t="s">
        <v>39</v>
      </c>
      <c r="E28">
        <v>2</v>
      </c>
      <c r="F28">
        <v>110</v>
      </c>
      <c r="G28">
        <v>220</v>
      </c>
    </row>
    <row r="29" spans="1:7" x14ac:dyDescent="0.25">
      <c r="A29" t="s">
        <v>55</v>
      </c>
      <c r="B29" s="1">
        <v>45780</v>
      </c>
      <c r="C29" t="s">
        <v>26</v>
      </c>
      <c r="D29" t="s">
        <v>16</v>
      </c>
      <c r="E29">
        <v>10</v>
      </c>
      <c r="F29">
        <v>65</v>
      </c>
      <c r="G29">
        <v>650</v>
      </c>
    </row>
    <row r="30" spans="1:7" x14ac:dyDescent="0.25">
      <c r="A30" t="s">
        <v>56</v>
      </c>
      <c r="B30" s="1">
        <v>45808</v>
      </c>
      <c r="C30" t="s">
        <v>29</v>
      </c>
      <c r="D30" t="s">
        <v>53</v>
      </c>
      <c r="E30">
        <v>2</v>
      </c>
      <c r="F30">
        <v>28</v>
      </c>
      <c r="G30">
        <v>56</v>
      </c>
    </row>
    <row r="31" spans="1:7" x14ac:dyDescent="0.25">
      <c r="A31" t="s">
        <v>57</v>
      </c>
      <c r="B31" s="1">
        <v>45819</v>
      </c>
      <c r="C31" t="s">
        <v>18</v>
      </c>
      <c r="D31" t="s">
        <v>27</v>
      </c>
      <c r="E31">
        <v>4</v>
      </c>
      <c r="F31">
        <v>18</v>
      </c>
      <c r="G31">
        <v>72</v>
      </c>
    </row>
    <row r="32" spans="1:7" x14ac:dyDescent="0.25">
      <c r="A32" t="s">
        <v>58</v>
      </c>
      <c r="B32" s="1">
        <v>45695</v>
      </c>
      <c r="C32" t="s">
        <v>18</v>
      </c>
      <c r="D32" t="s">
        <v>33</v>
      </c>
      <c r="E32">
        <v>10</v>
      </c>
      <c r="F32">
        <v>12</v>
      </c>
      <c r="G32">
        <v>120</v>
      </c>
    </row>
    <row r="33" spans="1:17" x14ac:dyDescent="0.25">
      <c r="A33" t="s">
        <v>59</v>
      </c>
      <c r="B33" s="1">
        <v>45887</v>
      </c>
      <c r="C33" t="s">
        <v>11</v>
      </c>
      <c r="D33" t="s">
        <v>33</v>
      </c>
      <c r="E33">
        <v>8</v>
      </c>
      <c r="F33">
        <v>12</v>
      </c>
      <c r="G33">
        <v>96</v>
      </c>
      <c r="I33" t="s">
        <v>246</v>
      </c>
    </row>
    <row r="34" spans="1:17" x14ac:dyDescent="0.25">
      <c r="A34" t="s">
        <v>60</v>
      </c>
      <c r="B34" s="1">
        <v>45827</v>
      </c>
      <c r="C34" t="s">
        <v>18</v>
      </c>
      <c r="D34" t="s">
        <v>51</v>
      </c>
      <c r="E34">
        <v>1</v>
      </c>
      <c r="F34">
        <v>15</v>
      </c>
      <c r="G34">
        <v>15</v>
      </c>
      <c r="I34" s="3" t="s">
        <v>247</v>
      </c>
      <c r="J34" s="3"/>
      <c r="K34" s="3"/>
      <c r="L34" s="3"/>
      <c r="M34" s="3"/>
      <c r="N34" s="3"/>
      <c r="O34" s="3"/>
      <c r="P34" s="3"/>
      <c r="Q34" s="3"/>
    </row>
    <row r="35" spans="1:17" x14ac:dyDescent="0.25">
      <c r="A35" t="s">
        <v>61</v>
      </c>
      <c r="B35" s="1">
        <v>45762</v>
      </c>
      <c r="C35" t="s">
        <v>29</v>
      </c>
      <c r="D35" t="s">
        <v>62</v>
      </c>
      <c r="E35">
        <v>6</v>
      </c>
      <c r="F35">
        <v>30</v>
      </c>
      <c r="G35">
        <v>180</v>
      </c>
      <c r="I35" s="3"/>
      <c r="J35" s="3"/>
      <c r="K35" s="3"/>
      <c r="L35" s="3"/>
      <c r="M35" s="3"/>
      <c r="N35" s="3"/>
      <c r="O35" s="3"/>
      <c r="P35" s="3"/>
      <c r="Q35" s="3"/>
    </row>
    <row r="36" spans="1:17" x14ac:dyDescent="0.25">
      <c r="A36" t="s">
        <v>63</v>
      </c>
      <c r="B36" s="1">
        <v>45678</v>
      </c>
      <c r="C36" t="s">
        <v>11</v>
      </c>
      <c r="D36" t="s">
        <v>12</v>
      </c>
      <c r="E36">
        <v>10</v>
      </c>
      <c r="F36">
        <v>275</v>
      </c>
      <c r="G36">
        <v>2750</v>
      </c>
      <c r="I36" s="3"/>
      <c r="J36" s="3"/>
      <c r="K36" s="3"/>
      <c r="L36" s="3"/>
      <c r="M36" s="3"/>
      <c r="N36" s="3"/>
      <c r="O36" s="3"/>
      <c r="P36" s="3"/>
      <c r="Q36" s="3"/>
    </row>
    <row r="37" spans="1:17" x14ac:dyDescent="0.25">
      <c r="A37" t="s">
        <v>64</v>
      </c>
      <c r="B37" s="1">
        <v>45752</v>
      </c>
      <c r="C37" t="s">
        <v>8</v>
      </c>
      <c r="D37" t="s">
        <v>22</v>
      </c>
      <c r="E37">
        <v>6</v>
      </c>
      <c r="F37">
        <v>95</v>
      </c>
      <c r="G37">
        <v>570</v>
      </c>
      <c r="I37" s="3"/>
      <c r="J37" s="3"/>
      <c r="K37" s="3"/>
      <c r="L37" s="3"/>
      <c r="M37" s="3"/>
      <c r="N37" s="3"/>
      <c r="O37" s="3"/>
      <c r="P37" s="3"/>
      <c r="Q37" s="3"/>
    </row>
    <row r="38" spans="1:17" x14ac:dyDescent="0.25">
      <c r="A38" t="s">
        <v>65</v>
      </c>
      <c r="B38" s="1">
        <v>45857</v>
      </c>
      <c r="C38" t="s">
        <v>18</v>
      </c>
      <c r="D38" t="s">
        <v>42</v>
      </c>
      <c r="E38">
        <v>1</v>
      </c>
      <c r="F38">
        <v>45</v>
      </c>
      <c r="G38">
        <v>45</v>
      </c>
      <c r="I38" s="3"/>
      <c r="J38" s="3"/>
      <c r="K38" s="3"/>
      <c r="L38" s="3"/>
      <c r="M38" s="3"/>
      <c r="N38" s="3"/>
      <c r="O38" s="3"/>
      <c r="P38" s="3"/>
      <c r="Q38" s="3"/>
    </row>
    <row r="39" spans="1:17" x14ac:dyDescent="0.25">
      <c r="A39" t="s">
        <v>66</v>
      </c>
      <c r="B39" s="1">
        <v>45798</v>
      </c>
      <c r="C39" t="s">
        <v>11</v>
      </c>
      <c r="D39" t="s">
        <v>27</v>
      </c>
      <c r="E39">
        <v>1</v>
      </c>
      <c r="F39">
        <v>18</v>
      </c>
      <c r="G39">
        <v>18</v>
      </c>
      <c r="I39" s="3"/>
      <c r="J39" s="3"/>
      <c r="K39" s="3"/>
      <c r="L39" s="3"/>
      <c r="M39" s="3"/>
      <c r="N39" s="3"/>
      <c r="O39" s="3"/>
      <c r="P39" s="3"/>
      <c r="Q39" s="3"/>
    </row>
    <row r="40" spans="1:17" x14ac:dyDescent="0.25">
      <c r="A40" t="s">
        <v>67</v>
      </c>
      <c r="B40" s="1">
        <v>45814</v>
      </c>
      <c r="C40" t="s">
        <v>11</v>
      </c>
      <c r="D40" t="s">
        <v>22</v>
      </c>
      <c r="E40">
        <v>5</v>
      </c>
      <c r="F40">
        <v>95</v>
      </c>
      <c r="G40">
        <v>475</v>
      </c>
      <c r="I40" s="3"/>
      <c r="J40" s="3"/>
      <c r="K40" s="3"/>
      <c r="L40" s="3"/>
      <c r="M40" s="3"/>
      <c r="N40" s="3"/>
      <c r="O40" s="3"/>
      <c r="P40" s="3"/>
      <c r="Q40" s="3"/>
    </row>
    <row r="41" spans="1:17" x14ac:dyDescent="0.25">
      <c r="A41" t="s">
        <v>68</v>
      </c>
      <c r="B41" s="1">
        <v>45662</v>
      </c>
      <c r="C41" t="s">
        <v>31</v>
      </c>
      <c r="D41" t="s">
        <v>20</v>
      </c>
      <c r="E41">
        <v>9</v>
      </c>
      <c r="F41">
        <v>85</v>
      </c>
      <c r="G41">
        <v>765</v>
      </c>
      <c r="I41" s="3"/>
      <c r="J41" s="3"/>
      <c r="K41" s="3"/>
      <c r="L41" s="3"/>
      <c r="M41" s="3"/>
      <c r="N41" s="3"/>
      <c r="O41" s="3"/>
      <c r="P41" s="3"/>
      <c r="Q41" s="3"/>
    </row>
    <row r="42" spans="1:17" x14ac:dyDescent="0.25">
      <c r="A42" t="s">
        <v>69</v>
      </c>
      <c r="B42" s="1">
        <v>45891</v>
      </c>
      <c r="C42" t="s">
        <v>31</v>
      </c>
      <c r="D42" t="s">
        <v>24</v>
      </c>
      <c r="E42">
        <v>2</v>
      </c>
      <c r="F42">
        <v>15</v>
      </c>
      <c r="G42">
        <v>30</v>
      </c>
      <c r="I42" s="3"/>
      <c r="J42" s="3"/>
      <c r="K42" s="3"/>
      <c r="L42" s="3"/>
      <c r="M42" s="3"/>
      <c r="N42" s="3"/>
      <c r="O42" s="3"/>
      <c r="P42" s="3"/>
      <c r="Q42" s="3"/>
    </row>
    <row r="43" spans="1:17" x14ac:dyDescent="0.25">
      <c r="A43" t="s">
        <v>70</v>
      </c>
      <c r="B43" s="1">
        <v>45658</v>
      </c>
      <c r="C43" t="s">
        <v>29</v>
      </c>
      <c r="D43" t="s">
        <v>44</v>
      </c>
      <c r="E43">
        <v>7</v>
      </c>
      <c r="F43">
        <v>10</v>
      </c>
      <c r="G43">
        <v>70</v>
      </c>
      <c r="I43" s="3"/>
      <c r="J43" s="3"/>
      <c r="K43" s="3"/>
      <c r="L43" s="3"/>
      <c r="M43" s="3"/>
      <c r="N43" s="3"/>
      <c r="O43" s="3"/>
      <c r="P43" s="3"/>
      <c r="Q43" s="3"/>
    </row>
    <row r="44" spans="1:17" x14ac:dyDescent="0.25">
      <c r="A44" t="s">
        <v>71</v>
      </c>
      <c r="B44" s="1">
        <v>45818</v>
      </c>
      <c r="C44" t="s">
        <v>11</v>
      </c>
      <c r="D44" t="s">
        <v>53</v>
      </c>
      <c r="E44">
        <v>10</v>
      </c>
      <c r="F44">
        <v>28</v>
      </c>
      <c r="G44">
        <v>280</v>
      </c>
      <c r="I44" s="3"/>
      <c r="J44" s="3"/>
      <c r="K44" s="3"/>
      <c r="L44" s="3"/>
      <c r="M44" s="3"/>
      <c r="N44" s="3"/>
      <c r="O44" s="3"/>
      <c r="P44" s="3"/>
      <c r="Q44" s="3"/>
    </row>
    <row r="45" spans="1:17" x14ac:dyDescent="0.25">
      <c r="A45" t="s">
        <v>72</v>
      </c>
      <c r="B45" s="1">
        <v>45942</v>
      </c>
      <c r="C45" t="s">
        <v>18</v>
      </c>
      <c r="D45" t="s">
        <v>20</v>
      </c>
      <c r="E45">
        <v>8</v>
      </c>
      <c r="F45">
        <v>85</v>
      </c>
      <c r="G45">
        <v>680</v>
      </c>
    </row>
    <row r="46" spans="1:17" x14ac:dyDescent="0.25">
      <c r="A46" t="s">
        <v>73</v>
      </c>
      <c r="B46" s="1">
        <v>46013</v>
      </c>
      <c r="C46" t="s">
        <v>18</v>
      </c>
      <c r="D46" t="s">
        <v>53</v>
      </c>
      <c r="E46">
        <v>7</v>
      </c>
      <c r="F46">
        <v>28</v>
      </c>
      <c r="G46">
        <v>196</v>
      </c>
    </row>
    <row r="47" spans="1:17" x14ac:dyDescent="0.25">
      <c r="A47" t="s">
        <v>74</v>
      </c>
      <c r="B47" s="1">
        <v>45684</v>
      </c>
      <c r="C47" t="s">
        <v>31</v>
      </c>
      <c r="D47" t="s">
        <v>33</v>
      </c>
      <c r="E47">
        <v>5</v>
      </c>
      <c r="F47">
        <v>12</v>
      </c>
      <c r="G47">
        <v>60</v>
      </c>
    </row>
    <row r="48" spans="1:17" x14ac:dyDescent="0.25">
      <c r="A48" t="s">
        <v>75</v>
      </c>
      <c r="B48" s="1">
        <v>45771</v>
      </c>
      <c r="C48" t="s">
        <v>8</v>
      </c>
      <c r="D48" t="s">
        <v>44</v>
      </c>
      <c r="E48">
        <v>8</v>
      </c>
      <c r="F48">
        <v>10</v>
      </c>
      <c r="G48">
        <v>80</v>
      </c>
    </row>
    <row r="49" spans="1:7" x14ac:dyDescent="0.25">
      <c r="A49" t="s">
        <v>76</v>
      </c>
      <c r="B49" s="1">
        <v>45882</v>
      </c>
      <c r="C49" t="s">
        <v>31</v>
      </c>
      <c r="D49" t="s">
        <v>9</v>
      </c>
      <c r="E49">
        <v>5</v>
      </c>
      <c r="F49">
        <v>22</v>
      </c>
      <c r="G49">
        <v>110</v>
      </c>
    </row>
    <row r="50" spans="1:7" x14ac:dyDescent="0.25">
      <c r="A50" t="s">
        <v>77</v>
      </c>
      <c r="B50" s="1">
        <v>45728</v>
      </c>
      <c r="C50" t="s">
        <v>8</v>
      </c>
      <c r="D50" t="s">
        <v>49</v>
      </c>
      <c r="E50">
        <v>4</v>
      </c>
      <c r="F50">
        <v>10</v>
      </c>
      <c r="G50">
        <v>40</v>
      </c>
    </row>
    <row r="51" spans="1:7" x14ac:dyDescent="0.25">
      <c r="A51" t="s">
        <v>78</v>
      </c>
      <c r="B51" s="1">
        <v>45874</v>
      </c>
      <c r="C51" t="s">
        <v>18</v>
      </c>
      <c r="D51" t="s">
        <v>22</v>
      </c>
      <c r="E51">
        <v>3</v>
      </c>
      <c r="F51">
        <v>95</v>
      </c>
      <c r="G51">
        <v>285</v>
      </c>
    </row>
    <row r="52" spans="1:7" x14ac:dyDescent="0.25">
      <c r="A52" t="s">
        <v>79</v>
      </c>
      <c r="B52" s="1">
        <v>45993</v>
      </c>
      <c r="C52" t="s">
        <v>18</v>
      </c>
      <c r="D52" t="s">
        <v>53</v>
      </c>
      <c r="E52">
        <v>4</v>
      </c>
      <c r="F52">
        <v>28</v>
      </c>
      <c r="G52">
        <v>112</v>
      </c>
    </row>
    <row r="53" spans="1:7" x14ac:dyDescent="0.25">
      <c r="A53" t="s">
        <v>80</v>
      </c>
      <c r="B53" s="1">
        <v>45716</v>
      </c>
      <c r="C53" t="s">
        <v>29</v>
      </c>
      <c r="D53" t="s">
        <v>62</v>
      </c>
      <c r="E53">
        <v>7</v>
      </c>
      <c r="F53">
        <v>30</v>
      </c>
      <c r="G53">
        <v>210</v>
      </c>
    </row>
    <row r="54" spans="1:7" x14ac:dyDescent="0.25">
      <c r="A54" t="s">
        <v>81</v>
      </c>
      <c r="B54" s="1">
        <v>45900</v>
      </c>
      <c r="C54" t="s">
        <v>18</v>
      </c>
      <c r="D54" t="s">
        <v>24</v>
      </c>
      <c r="E54">
        <v>3</v>
      </c>
      <c r="F54">
        <v>15</v>
      </c>
      <c r="G54">
        <v>45</v>
      </c>
    </row>
    <row r="55" spans="1:7" x14ac:dyDescent="0.25">
      <c r="A55" t="s">
        <v>82</v>
      </c>
      <c r="B55" s="1">
        <v>45756</v>
      </c>
      <c r="C55" t="s">
        <v>11</v>
      </c>
      <c r="D55" t="s">
        <v>49</v>
      </c>
      <c r="E55">
        <v>10</v>
      </c>
      <c r="F55">
        <v>10</v>
      </c>
      <c r="G55">
        <v>100</v>
      </c>
    </row>
    <row r="56" spans="1:7" x14ac:dyDescent="0.25">
      <c r="A56" t="s">
        <v>83</v>
      </c>
      <c r="B56" s="1">
        <v>45954</v>
      </c>
      <c r="C56" t="s">
        <v>18</v>
      </c>
      <c r="D56" t="s">
        <v>39</v>
      </c>
      <c r="E56">
        <v>2</v>
      </c>
      <c r="F56">
        <v>110</v>
      </c>
      <c r="G56">
        <v>220</v>
      </c>
    </row>
    <row r="57" spans="1:7" x14ac:dyDescent="0.25">
      <c r="A57" t="s">
        <v>84</v>
      </c>
      <c r="B57" s="1">
        <v>45827</v>
      </c>
      <c r="C57" t="s">
        <v>29</v>
      </c>
      <c r="D57" t="s">
        <v>20</v>
      </c>
      <c r="E57">
        <v>9</v>
      </c>
      <c r="F57">
        <v>85</v>
      </c>
      <c r="G57">
        <v>765</v>
      </c>
    </row>
    <row r="58" spans="1:7" x14ac:dyDescent="0.25">
      <c r="A58" t="s">
        <v>85</v>
      </c>
      <c r="B58" s="1">
        <v>45812</v>
      </c>
      <c r="C58" t="s">
        <v>18</v>
      </c>
      <c r="D58" t="s">
        <v>49</v>
      </c>
      <c r="E58">
        <v>3</v>
      </c>
      <c r="F58">
        <v>10</v>
      </c>
      <c r="G58">
        <v>30</v>
      </c>
    </row>
    <row r="59" spans="1:7" x14ac:dyDescent="0.25">
      <c r="A59" t="s">
        <v>86</v>
      </c>
      <c r="B59" s="1">
        <v>45930</v>
      </c>
      <c r="C59" t="s">
        <v>11</v>
      </c>
      <c r="D59" t="s">
        <v>33</v>
      </c>
      <c r="E59">
        <v>2</v>
      </c>
      <c r="F59">
        <v>12</v>
      </c>
      <c r="G59">
        <v>24</v>
      </c>
    </row>
    <row r="60" spans="1:7" x14ac:dyDescent="0.25">
      <c r="A60" t="s">
        <v>87</v>
      </c>
      <c r="B60" s="1">
        <v>45980</v>
      </c>
      <c r="C60" t="s">
        <v>8</v>
      </c>
      <c r="D60" t="s">
        <v>51</v>
      </c>
      <c r="E60">
        <v>10</v>
      </c>
      <c r="F60">
        <v>15</v>
      </c>
      <c r="G60">
        <v>150</v>
      </c>
    </row>
    <row r="61" spans="1:7" x14ac:dyDescent="0.25">
      <c r="A61" t="s">
        <v>88</v>
      </c>
      <c r="B61" s="1">
        <v>45901</v>
      </c>
      <c r="C61" t="s">
        <v>8</v>
      </c>
      <c r="D61" t="s">
        <v>22</v>
      </c>
      <c r="E61">
        <v>3</v>
      </c>
      <c r="F61">
        <v>95</v>
      </c>
      <c r="G61">
        <v>285</v>
      </c>
    </row>
    <row r="62" spans="1:7" x14ac:dyDescent="0.25">
      <c r="A62" t="s">
        <v>89</v>
      </c>
      <c r="B62" s="1">
        <v>45742</v>
      </c>
      <c r="C62" t="s">
        <v>18</v>
      </c>
      <c r="D62" t="s">
        <v>33</v>
      </c>
      <c r="E62">
        <v>9</v>
      </c>
      <c r="F62">
        <v>12</v>
      </c>
      <c r="G62">
        <v>108</v>
      </c>
    </row>
    <row r="63" spans="1:7" x14ac:dyDescent="0.25">
      <c r="A63" t="s">
        <v>90</v>
      </c>
      <c r="B63" s="1">
        <v>45963</v>
      </c>
      <c r="C63" t="s">
        <v>29</v>
      </c>
      <c r="D63" t="s">
        <v>53</v>
      </c>
      <c r="E63">
        <v>5</v>
      </c>
      <c r="F63">
        <v>28</v>
      </c>
      <c r="G63">
        <v>140</v>
      </c>
    </row>
    <row r="64" spans="1:7" x14ac:dyDescent="0.25">
      <c r="A64" t="s">
        <v>91</v>
      </c>
      <c r="B64" s="1">
        <v>45893</v>
      </c>
      <c r="C64" t="s">
        <v>29</v>
      </c>
      <c r="D64" t="s">
        <v>12</v>
      </c>
      <c r="E64">
        <v>1</v>
      </c>
      <c r="F64">
        <v>275</v>
      </c>
      <c r="G64">
        <v>275</v>
      </c>
    </row>
    <row r="65" spans="1:7" x14ac:dyDescent="0.25">
      <c r="A65" t="s">
        <v>92</v>
      </c>
      <c r="B65" s="1">
        <v>45748</v>
      </c>
      <c r="C65" t="s">
        <v>11</v>
      </c>
      <c r="D65" t="s">
        <v>9</v>
      </c>
      <c r="E65">
        <v>7</v>
      </c>
      <c r="F65">
        <v>22</v>
      </c>
      <c r="G65">
        <v>154</v>
      </c>
    </row>
    <row r="66" spans="1:7" x14ac:dyDescent="0.25">
      <c r="A66" t="s">
        <v>93</v>
      </c>
      <c r="B66" s="1">
        <v>45714</v>
      </c>
      <c r="C66" t="s">
        <v>8</v>
      </c>
      <c r="D66" t="s">
        <v>51</v>
      </c>
      <c r="E66">
        <v>1</v>
      </c>
      <c r="F66">
        <v>15</v>
      </c>
      <c r="G66">
        <v>15</v>
      </c>
    </row>
    <row r="67" spans="1:7" x14ac:dyDescent="0.25">
      <c r="A67" t="s">
        <v>94</v>
      </c>
      <c r="B67" s="1">
        <v>46014</v>
      </c>
      <c r="C67" t="s">
        <v>8</v>
      </c>
      <c r="D67" t="s">
        <v>39</v>
      </c>
      <c r="E67">
        <v>7</v>
      </c>
      <c r="F67">
        <v>110</v>
      </c>
      <c r="G67">
        <v>770</v>
      </c>
    </row>
    <row r="68" spans="1:7" x14ac:dyDescent="0.25">
      <c r="A68" t="s">
        <v>95</v>
      </c>
      <c r="B68" s="1">
        <v>46000</v>
      </c>
      <c r="C68" t="s">
        <v>31</v>
      </c>
      <c r="D68" t="s">
        <v>24</v>
      </c>
      <c r="E68">
        <v>5</v>
      </c>
      <c r="F68">
        <v>15</v>
      </c>
      <c r="G68">
        <v>75</v>
      </c>
    </row>
    <row r="69" spans="1:7" x14ac:dyDescent="0.25">
      <c r="A69" t="s">
        <v>96</v>
      </c>
      <c r="B69" s="1">
        <v>45941</v>
      </c>
      <c r="C69" t="s">
        <v>29</v>
      </c>
      <c r="D69" t="s">
        <v>42</v>
      </c>
      <c r="E69">
        <v>5</v>
      </c>
      <c r="F69">
        <v>45</v>
      </c>
      <c r="G69">
        <v>225</v>
      </c>
    </row>
    <row r="70" spans="1:7" x14ac:dyDescent="0.25">
      <c r="A70" t="s">
        <v>97</v>
      </c>
      <c r="B70" s="1">
        <v>45865</v>
      </c>
      <c r="C70" t="s">
        <v>26</v>
      </c>
      <c r="D70" t="s">
        <v>39</v>
      </c>
      <c r="E70">
        <v>4</v>
      </c>
      <c r="F70">
        <v>110</v>
      </c>
      <c r="G70">
        <v>440</v>
      </c>
    </row>
    <row r="71" spans="1:7" x14ac:dyDescent="0.25">
      <c r="A71" t="s">
        <v>98</v>
      </c>
      <c r="B71" s="1">
        <v>45686</v>
      </c>
      <c r="C71" t="s">
        <v>29</v>
      </c>
      <c r="D71" t="s">
        <v>24</v>
      </c>
      <c r="E71">
        <v>6</v>
      </c>
      <c r="F71">
        <v>15</v>
      </c>
      <c r="G71">
        <v>90</v>
      </c>
    </row>
    <row r="72" spans="1:7" x14ac:dyDescent="0.25">
      <c r="A72" t="s">
        <v>99</v>
      </c>
      <c r="B72" s="1">
        <v>45983</v>
      </c>
      <c r="C72" t="s">
        <v>26</v>
      </c>
      <c r="D72" t="s">
        <v>20</v>
      </c>
      <c r="E72">
        <v>6</v>
      </c>
      <c r="F72">
        <v>85</v>
      </c>
      <c r="G72">
        <v>510</v>
      </c>
    </row>
    <row r="73" spans="1:7" x14ac:dyDescent="0.25">
      <c r="A73" t="s">
        <v>100</v>
      </c>
      <c r="B73" s="1">
        <v>45872</v>
      </c>
      <c r="C73" t="s">
        <v>31</v>
      </c>
      <c r="D73" t="s">
        <v>62</v>
      </c>
      <c r="E73">
        <v>9</v>
      </c>
      <c r="F73">
        <v>30</v>
      </c>
      <c r="G73">
        <v>270</v>
      </c>
    </row>
    <row r="74" spans="1:7" x14ac:dyDescent="0.25">
      <c r="A74" t="s">
        <v>66</v>
      </c>
      <c r="B74" s="1">
        <v>45798</v>
      </c>
      <c r="C74" t="s">
        <v>11</v>
      </c>
      <c r="D74" t="s">
        <v>27</v>
      </c>
      <c r="E74">
        <v>1</v>
      </c>
      <c r="F74">
        <v>18</v>
      </c>
      <c r="G74">
        <v>18</v>
      </c>
    </row>
    <row r="75" spans="1:7" x14ac:dyDescent="0.25">
      <c r="A75" t="s">
        <v>54</v>
      </c>
      <c r="B75" s="1">
        <v>45726</v>
      </c>
      <c r="C75" t="s">
        <v>26</v>
      </c>
      <c r="D75" t="s">
        <v>39</v>
      </c>
      <c r="E75">
        <v>2</v>
      </c>
      <c r="F75">
        <v>110</v>
      </c>
      <c r="G75">
        <v>220</v>
      </c>
    </row>
    <row r="76" spans="1:7" x14ac:dyDescent="0.25">
      <c r="A76" t="s">
        <v>101</v>
      </c>
      <c r="B76" s="1">
        <v>45739</v>
      </c>
      <c r="C76" t="s">
        <v>8</v>
      </c>
      <c r="D76" t="s">
        <v>12</v>
      </c>
      <c r="E76">
        <v>1</v>
      </c>
      <c r="F76">
        <v>275</v>
      </c>
      <c r="G76">
        <v>275</v>
      </c>
    </row>
    <row r="77" spans="1:7" x14ac:dyDescent="0.25">
      <c r="A77" t="s">
        <v>102</v>
      </c>
      <c r="B77" s="1">
        <v>45890</v>
      </c>
      <c r="C77" t="s">
        <v>26</v>
      </c>
      <c r="D77" t="s">
        <v>42</v>
      </c>
      <c r="E77">
        <v>5</v>
      </c>
      <c r="F77">
        <v>45</v>
      </c>
      <c r="G77">
        <v>225</v>
      </c>
    </row>
    <row r="78" spans="1:7" x14ac:dyDescent="0.25">
      <c r="A78" t="s">
        <v>103</v>
      </c>
      <c r="B78" s="1">
        <v>45691</v>
      </c>
      <c r="C78" t="s">
        <v>29</v>
      </c>
      <c r="D78" t="s">
        <v>33</v>
      </c>
      <c r="E78">
        <v>2</v>
      </c>
      <c r="F78">
        <v>12</v>
      </c>
      <c r="G78">
        <v>24</v>
      </c>
    </row>
    <row r="79" spans="1:7" x14ac:dyDescent="0.25">
      <c r="A79" t="s">
        <v>104</v>
      </c>
      <c r="B79" s="1">
        <v>45971</v>
      </c>
      <c r="C79" t="s">
        <v>8</v>
      </c>
      <c r="D79" t="s">
        <v>53</v>
      </c>
      <c r="E79">
        <v>8</v>
      </c>
      <c r="F79">
        <v>28</v>
      </c>
      <c r="G79">
        <v>224</v>
      </c>
    </row>
    <row r="80" spans="1:7" x14ac:dyDescent="0.25">
      <c r="A80" t="s">
        <v>105</v>
      </c>
      <c r="B80" s="1">
        <v>45897</v>
      </c>
      <c r="C80" t="s">
        <v>8</v>
      </c>
      <c r="D80" t="s">
        <v>42</v>
      </c>
      <c r="E80">
        <v>10</v>
      </c>
      <c r="F80">
        <v>45</v>
      </c>
      <c r="G80">
        <v>450</v>
      </c>
    </row>
    <row r="81" spans="1:7" x14ac:dyDescent="0.25">
      <c r="A81" t="s">
        <v>106</v>
      </c>
      <c r="B81" s="1">
        <v>45985</v>
      </c>
      <c r="C81" t="s">
        <v>18</v>
      </c>
      <c r="D81" t="s">
        <v>27</v>
      </c>
      <c r="E81">
        <v>5</v>
      </c>
      <c r="F81">
        <v>18</v>
      </c>
      <c r="G81">
        <v>90</v>
      </c>
    </row>
    <row r="82" spans="1:7" x14ac:dyDescent="0.25">
      <c r="A82" t="s">
        <v>107</v>
      </c>
      <c r="B82" s="1">
        <v>45713</v>
      </c>
      <c r="C82" t="s">
        <v>18</v>
      </c>
      <c r="D82" t="s">
        <v>12</v>
      </c>
      <c r="E82">
        <v>1</v>
      </c>
      <c r="F82">
        <v>275</v>
      </c>
      <c r="G82">
        <v>275</v>
      </c>
    </row>
    <row r="83" spans="1:7" x14ac:dyDescent="0.25">
      <c r="A83" t="s">
        <v>108</v>
      </c>
      <c r="B83" s="1">
        <v>46019</v>
      </c>
      <c r="C83" t="s">
        <v>8</v>
      </c>
      <c r="D83" t="s">
        <v>39</v>
      </c>
      <c r="E83">
        <v>9</v>
      </c>
      <c r="F83">
        <v>110</v>
      </c>
      <c r="G83">
        <v>990</v>
      </c>
    </row>
    <row r="84" spans="1:7" x14ac:dyDescent="0.25">
      <c r="A84" t="s">
        <v>109</v>
      </c>
      <c r="B84" s="1">
        <v>45849</v>
      </c>
      <c r="C84" t="s">
        <v>31</v>
      </c>
      <c r="D84" t="s">
        <v>62</v>
      </c>
      <c r="E84">
        <v>3</v>
      </c>
      <c r="F84">
        <v>30</v>
      </c>
      <c r="G84">
        <v>90</v>
      </c>
    </row>
    <row r="85" spans="1:7" x14ac:dyDescent="0.25">
      <c r="A85" t="s">
        <v>110</v>
      </c>
      <c r="B85" s="1">
        <v>45914</v>
      </c>
      <c r="C85" t="s">
        <v>11</v>
      </c>
      <c r="D85" t="s">
        <v>42</v>
      </c>
      <c r="E85">
        <v>5</v>
      </c>
      <c r="F85">
        <v>45</v>
      </c>
      <c r="G85">
        <v>225</v>
      </c>
    </row>
    <row r="86" spans="1:7" x14ac:dyDescent="0.25">
      <c r="A86" t="s">
        <v>111</v>
      </c>
      <c r="B86" s="1">
        <v>45662</v>
      </c>
      <c r="C86" t="s">
        <v>8</v>
      </c>
      <c r="D86" t="s">
        <v>53</v>
      </c>
      <c r="E86">
        <v>2</v>
      </c>
      <c r="F86">
        <v>28</v>
      </c>
      <c r="G86">
        <v>56</v>
      </c>
    </row>
    <row r="87" spans="1:7" x14ac:dyDescent="0.25">
      <c r="A87" t="s">
        <v>112</v>
      </c>
      <c r="B87" s="1">
        <v>45841</v>
      </c>
      <c r="C87" t="s">
        <v>29</v>
      </c>
      <c r="D87" t="s">
        <v>49</v>
      </c>
      <c r="E87">
        <v>1</v>
      </c>
      <c r="F87">
        <v>10</v>
      </c>
      <c r="G87">
        <v>10</v>
      </c>
    </row>
    <row r="88" spans="1:7" x14ac:dyDescent="0.25">
      <c r="A88" t="s">
        <v>113</v>
      </c>
      <c r="B88" s="1">
        <v>45768</v>
      </c>
      <c r="C88" t="s">
        <v>29</v>
      </c>
      <c r="D88" t="s">
        <v>12</v>
      </c>
      <c r="E88">
        <v>3</v>
      </c>
      <c r="F88">
        <v>275</v>
      </c>
      <c r="G88">
        <v>825</v>
      </c>
    </row>
    <row r="89" spans="1:7" x14ac:dyDescent="0.25">
      <c r="A89" t="s">
        <v>107</v>
      </c>
      <c r="B89" s="1">
        <v>45713</v>
      </c>
      <c r="C89" t="s">
        <v>18</v>
      </c>
      <c r="D89" t="s">
        <v>12</v>
      </c>
      <c r="E89">
        <v>1</v>
      </c>
      <c r="F89">
        <v>275</v>
      </c>
      <c r="G89">
        <v>275</v>
      </c>
    </row>
    <row r="90" spans="1:7" x14ac:dyDescent="0.25">
      <c r="A90" t="s">
        <v>114</v>
      </c>
      <c r="B90" s="1">
        <v>45680</v>
      </c>
      <c r="C90" t="s">
        <v>11</v>
      </c>
      <c r="D90" t="s">
        <v>20</v>
      </c>
      <c r="E90">
        <v>5</v>
      </c>
      <c r="F90">
        <v>85</v>
      </c>
      <c r="G90">
        <v>425</v>
      </c>
    </row>
    <row r="91" spans="1:7" x14ac:dyDescent="0.25">
      <c r="A91" t="s">
        <v>115</v>
      </c>
      <c r="B91" s="1">
        <v>45890</v>
      </c>
      <c r="C91" t="s">
        <v>8</v>
      </c>
      <c r="D91" t="s">
        <v>53</v>
      </c>
      <c r="E91">
        <v>4</v>
      </c>
      <c r="F91">
        <v>28</v>
      </c>
      <c r="G91">
        <v>112</v>
      </c>
    </row>
    <row r="92" spans="1:7" x14ac:dyDescent="0.25">
      <c r="A92" t="s">
        <v>116</v>
      </c>
      <c r="B92" s="1">
        <v>45934</v>
      </c>
      <c r="C92" t="s">
        <v>31</v>
      </c>
      <c r="D92" t="s">
        <v>20</v>
      </c>
      <c r="E92">
        <v>4</v>
      </c>
      <c r="F92">
        <v>85</v>
      </c>
      <c r="G92">
        <v>340</v>
      </c>
    </row>
    <row r="93" spans="1:7" x14ac:dyDescent="0.25">
      <c r="A93" t="s">
        <v>117</v>
      </c>
      <c r="B93" s="1">
        <v>45743</v>
      </c>
      <c r="C93" t="s">
        <v>26</v>
      </c>
      <c r="D93" t="s">
        <v>51</v>
      </c>
      <c r="E93">
        <v>4</v>
      </c>
      <c r="F93">
        <v>15</v>
      </c>
      <c r="G93">
        <v>60</v>
      </c>
    </row>
    <row r="94" spans="1:7" x14ac:dyDescent="0.25">
      <c r="A94" t="s">
        <v>118</v>
      </c>
      <c r="B94" s="1">
        <v>45888</v>
      </c>
      <c r="C94" t="s">
        <v>18</v>
      </c>
      <c r="D94" t="s">
        <v>16</v>
      </c>
      <c r="E94">
        <v>7</v>
      </c>
      <c r="F94">
        <v>65</v>
      </c>
      <c r="G94">
        <v>455</v>
      </c>
    </row>
    <row r="95" spans="1:7" x14ac:dyDescent="0.25">
      <c r="A95" t="s">
        <v>119</v>
      </c>
      <c r="B95" s="1">
        <v>45673</v>
      </c>
      <c r="C95" t="s">
        <v>26</v>
      </c>
      <c r="D95" t="s">
        <v>20</v>
      </c>
      <c r="E95">
        <v>1</v>
      </c>
      <c r="F95">
        <v>85</v>
      </c>
      <c r="G95">
        <v>85</v>
      </c>
    </row>
    <row r="96" spans="1:7" x14ac:dyDescent="0.25">
      <c r="A96" t="s">
        <v>120</v>
      </c>
      <c r="B96" s="1">
        <v>45938</v>
      </c>
      <c r="C96" t="s">
        <v>31</v>
      </c>
      <c r="D96" t="s">
        <v>39</v>
      </c>
      <c r="E96">
        <v>7</v>
      </c>
      <c r="F96">
        <v>110</v>
      </c>
      <c r="G96">
        <v>770</v>
      </c>
    </row>
    <row r="97" spans="1:7" x14ac:dyDescent="0.25">
      <c r="A97" t="s">
        <v>121</v>
      </c>
      <c r="B97" s="1">
        <v>45953</v>
      </c>
      <c r="C97" t="s">
        <v>31</v>
      </c>
      <c r="D97" t="s">
        <v>27</v>
      </c>
      <c r="E97">
        <v>7</v>
      </c>
      <c r="F97">
        <v>18</v>
      </c>
      <c r="G97">
        <v>126</v>
      </c>
    </row>
    <row r="98" spans="1:7" x14ac:dyDescent="0.25">
      <c r="A98" t="s">
        <v>122</v>
      </c>
      <c r="B98" s="1">
        <v>45888</v>
      </c>
      <c r="C98" t="s">
        <v>18</v>
      </c>
      <c r="D98" t="s">
        <v>51</v>
      </c>
      <c r="E98">
        <v>5</v>
      </c>
      <c r="F98">
        <v>15</v>
      </c>
      <c r="G98">
        <v>75</v>
      </c>
    </row>
    <row r="99" spans="1:7" x14ac:dyDescent="0.25">
      <c r="A99" t="s">
        <v>123</v>
      </c>
      <c r="B99" s="1">
        <v>45900</v>
      </c>
      <c r="C99" t="s">
        <v>11</v>
      </c>
      <c r="D99" t="s">
        <v>62</v>
      </c>
      <c r="E99">
        <v>9</v>
      </c>
      <c r="F99">
        <v>30</v>
      </c>
      <c r="G99">
        <v>270</v>
      </c>
    </row>
    <row r="100" spans="1:7" x14ac:dyDescent="0.25">
      <c r="A100" t="s">
        <v>124</v>
      </c>
      <c r="B100" s="1">
        <v>45689</v>
      </c>
      <c r="C100" t="s">
        <v>8</v>
      </c>
      <c r="D100" t="s">
        <v>44</v>
      </c>
      <c r="E100">
        <v>2</v>
      </c>
      <c r="F100">
        <v>10</v>
      </c>
      <c r="G100">
        <v>20</v>
      </c>
    </row>
    <row r="101" spans="1:7" x14ac:dyDescent="0.25">
      <c r="A101" t="s">
        <v>125</v>
      </c>
      <c r="B101" s="1">
        <v>45958</v>
      </c>
      <c r="C101" t="s">
        <v>26</v>
      </c>
      <c r="D101" t="s">
        <v>24</v>
      </c>
      <c r="E101">
        <v>10</v>
      </c>
      <c r="F101">
        <v>15</v>
      </c>
      <c r="G101">
        <v>150</v>
      </c>
    </row>
    <row r="102" spans="1:7" x14ac:dyDescent="0.25">
      <c r="A102" t="s">
        <v>126</v>
      </c>
      <c r="B102" s="1">
        <v>45696</v>
      </c>
      <c r="C102" t="s">
        <v>29</v>
      </c>
      <c r="D102" t="s">
        <v>22</v>
      </c>
      <c r="E102">
        <v>4</v>
      </c>
      <c r="F102">
        <v>95</v>
      </c>
      <c r="G102">
        <v>380</v>
      </c>
    </row>
    <row r="103" spans="1:7" x14ac:dyDescent="0.25">
      <c r="A103" t="s">
        <v>127</v>
      </c>
      <c r="B103" s="1">
        <v>45823</v>
      </c>
      <c r="C103" t="s">
        <v>31</v>
      </c>
      <c r="D103" t="s">
        <v>16</v>
      </c>
      <c r="E103">
        <v>10</v>
      </c>
      <c r="F103">
        <v>65</v>
      </c>
      <c r="G103">
        <v>650</v>
      </c>
    </row>
    <row r="104" spans="1:7" x14ac:dyDescent="0.25">
      <c r="A104" t="s">
        <v>128</v>
      </c>
      <c r="B104" s="1">
        <v>45765</v>
      </c>
      <c r="C104" t="s">
        <v>18</v>
      </c>
      <c r="D104" t="s">
        <v>49</v>
      </c>
      <c r="E104">
        <v>6</v>
      </c>
      <c r="F104">
        <v>10</v>
      </c>
      <c r="G104">
        <v>60</v>
      </c>
    </row>
    <row r="105" spans="1:7" x14ac:dyDescent="0.25">
      <c r="A105" t="s">
        <v>129</v>
      </c>
      <c r="B105" s="1">
        <v>45676</v>
      </c>
      <c r="C105" t="s">
        <v>29</v>
      </c>
      <c r="D105" t="s">
        <v>42</v>
      </c>
      <c r="E105">
        <v>9</v>
      </c>
      <c r="F105">
        <v>45</v>
      </c>
      <c r="G105">
        <v>405</v>
      </c>
    </row>
    <row r="106" spans="1:7" x14ac:dyDescent="0.25">
      <c r="A106" t="s">
        <v>130</v>
      </c>
      <c r="B106" s="1">
        <v>45991</v>
      </c>
      <c r="C106" t="s">
        <v>31</v>
      </c>
      <c r="D106" t="s">
        <v>27</v>
      </c>
      <c r="E106">
        <v>1</v>
      </c>
      <c r="F106">
        <v>18</v>
      </c>
      <c r="G106">
        <v>18</v>
      </c>
    </row>
    <row r="107" spans="1:7" x14ac:dyDescent="0.25">
      <c r="A107" t="s">
        <v>131</v>
      </c>
      <c r="B107" s="1">
        <v>45768</v>
      </c>
      <c r="C107" t="s">
        <v>11</v>
      </c>
      <c r="D107" t="s">
        <v>14</v>
      </c>
      <c r="E107">
        <v>4</v>
      </c>
      <c r="F107">
        <v>20</v>
      </c>
      <c r="G107">
        <v>80</v>
      </c>
    </row>
    <row r="108" spans="1:7" x14ac:dyDescent="0.25">
      <c r="A108" t="s">
        <v>132</v>
      </c>
      <c r="B108" s="1">
        <v>45894</v>
      </c>
      <c r="C108" t="s">
        <v>8</v>
      </c>
      <c r="D108" t="s">
        <v>16</v>
      </c>
      <c r="E108">
        <v>9</v>
      </c>
      <c r="F108">
        <v>65</v>
      </c>
      <c r="G108">
        <v>585</v>
      </c>
    </row>
    <row r="109" spans="1:7" x14ac:dyDescent="0.25">
      <c r="A109" t="s">
        <v>133</v>
      </c>
      <c r="B109" s="1">
        <v>45730</v>
      </c>
      <c r="C109" t="s">
        <v>18</v>
      </c>
      <c r="D109" t="s">
        <v>9</v>
      </c>
      <c r="E109">
        <v>5</v>
      </c>
      <c r="F109">
        <v>22</v>
      </c>
      <c r="G109">
        <v>110</v>
      </c>
    </row>
    <row r="110" spans="1:7" x14ac:dyDescent="0.25">
      <c r="A110" t="s">
        <v>134</v>
      </c>
      <c r="B110" s="1">
        <v>45866</v>
      </c>
      <c r="C110" t="s">
        <v>29</v>
      </c>
      <c r="D110" t="s">
        <v>16</v>
      </c>
      <c r="E110">
        <v>9</v>
      </c>
      <c r="F110">
        <v>65</v>
      </c>
      <c r="G110">
        <v>585</v>
      </c>
    </row>
    <row r="111" spans="1:7" x14ac:dyDescent="0.25">
      <c r="A111" t="s">
        <v>135</v>
      </c>
      <c r="B111" s="1">
        <v>45881</v>
      </c>
      <c r="C111" t="s">
        <v>8</v>
      </c>
      <c r="D111" t="s">
        <v>49</v>
      </c>
      <c r="E111">
        <v>6</v>
      </c>
      <c r="F111">
        <v>10</v>
      </c>
      <c r="G111">
        <v>60</v>
      </c>
    </row>
    <row r="112" spans="1:7" x14ac:dyDescent="0.25">
      <c r="A112" t="s">
        <v>136</v>
      </c>
      <c r="B112" s="1">
        <v>45755</v>
      </c>
      <c r="C112" t="s">
        <v>11</v>
      </c>
      <c r="D112" t="s">
        <v>33</v>
      </c>
      <c r="E112">
        <v>3</v>
      </c>
      <c r="F112">
        <v>12</v>
      </c>
      <c r="G112">
        <v>36</v>
      </c>
    </row>
    <row r="113" spans="1:7" x14ac:dyDescent="0.25">
      <c r="A113" t="s">
        <v>137</v>
      </c>
      <c r="B113" s="1">
        <v>45708</v>
      </c>
      <c r="C113" t="s">
        <v>31</v>
      </c>
      <c r="D113" t="s">
        <v>44</v>
      </c>
      <c r="E113">
        <v>10</v>
      </c>
      <c r="F113">
        <v>10</v>
      </c>
      <c r="G113">
        <v>100</v>
      </c>
    </row>
    <row r="114" spans="1:7" x14ac:dyDescent="0.25">
      <c r="A114" t="s">
        <v>138</v>
      </c>
      <c r="B114" s="1">
        <v>45782</v>
      </c>
      <c r="C114" t="s">
        <v>8</v>
      </c>
      <c r="D114" t="s">
        <v>33</v>
      </c>
      <c r="E114">
        <v>8</v>
      </c>
      <c r="F114">
        <v>12</v>
      </c>
      <c r="G114">
        <v>96</v>
      </c>
    </row>
    <row r="115" spans="1:7" x14ac:dyDescent="0.25">
      <c r="A115" t="s">
        <v>139</v>
      </c>
      <c r="B115" s="1">
        <v>45755</v>
      </c>
      <c r="C115" t="s">
        <v>31</v>
      </c>
      <c r="D115" t="s">
        <v>16</v>
      </c>
      <c r="E115">
        <v>9</v>
      </c>
      <c r="F115">
        <v>65</v>
      </c>
      <c r="G115">
        <v>585</v>
      </c>
    </row>
    <row r="116" spans="1:7" x14ac:dyDescent="0.25">
      <c r="A116" t="s">
        <v>140</v>
      </c>
      <c r="B116" s="1">
        <v>45693</v>
      </c>
      <c r="C116" t="s">
        <v>31</v>
      </c>
      <c r="D116" t="s">
        <v>20</v>
      </c>
      <c r="E116">
        <v>6</v>
      </c>
      <c r="F116">
        <v>85</v>
      </c>
      <c r="G116">
        <v>510</v>
      </c>
    </row>
    <row r="117" spans="1:7" x14ac:dyDescent="0.25">
      <c r="A117" t="s">
        <v>141</v>
      </c>
      <c r="B117" s="1">
        <v>45683</v>
      </c>
      <c r="C117" t="s">
        <v>11</v>
      </c>
      <c r="D117" t="s">
        <v>53</v>
      </c>
      <c r="E117">
        <v>1</v>
      </c>
      <c r="F117">
        <v>28</v>
      </c>
      <c r="G117">
        <v>28</v>
      </c>
    </row>
    <row r="118" spans="1:7" x14ac:dyDescent="0.25">
      <c r="A118" t="s">
        <v>142</v>
      </c>
      <c r="B118" s="1">
        <v>45813</v>
      </c>
      <c r="C118" t="s">
        <v>18</v>
      </c>
      <c r="D118" t="s">
        <v>9</v>
      </c>
      <c r="E118">
        <v>10</v>
      </c>
      <c r="F118">
        <v>22</v>
      </c>
      <c r="G118">
        <v>220</v>
      </c>
    </row>
    <row r="119" spans="1:7" x14ac:dyDescent="0.25">
      <c r="A119" t="s">
        <v>143</v>
      </c>
      <c r="B119" s="1">
        <v>45940</v>
      </c>
      <c r="C119" t="s">
        <v>18</v>
      </c>
      <c r="D119" t="s">
        <v>24</v>
      </c>
      <c r="E119">
        <v>3</v>
      </c>
      <c r="F119">
        <v>15</v>
      </c>
      <c r="G119">
        <v>45</v>
      </c>
    </row>
    <row r="120" spans="1:7" x14ac:dyDescent="0.25">
      <c r="A120" t="s">
        <v>144</v>
      </c>
      <c r="B120" s="1">
        <v>45737</v>
      </c>
      <c r="C120" t="s">
        <v>26</v>
      </c>
      <c r="D120" t="s">
        <v>27</v>
      </c>
      <c r="E120">
        <v>9</v>
      </c>
      <c r="F120">
        <v>18</v>
      </c>
      <c r="G120">
        <v>162</v>
      </c>
    </row>
    <row r="121" spans="1:7" x14ac:dyDescent="0.25">
      <c r="A121" t="s">
        <v>145</v>
      </c>
      <c r="B121" s="1">
        <v>45962</v>
      </c>
      <c r="C121" t="s">
        <v>26</v>
      </c>
      <c r="D121" t="s">
        <v>14</v>
      </c>
      <c r="E121">
        <v>5</v>
      </c>
      <c r="F121">
        <v>20</v>
      </c>
      <c r="G121">
        <v>100</v>
      </c>
    </row>
    <row r="122" spans="1:7" x14ac:dyDescent="0.25">
      <c r="A122" t="s">
        <v>146</v>
      </c>
      <c r="B122" s="1">
        <v>45968</v>
      </c>
      <c r="C122" t="s">
        <v>29</v>
      </c>
      <c r="D122" t="s">
        <v>14</v>
      </c>
      <c r="E122">
        <v>10</v>
      </c>
      <c r="F122">
        <v>20</v>
      </c>
      <c r="G122">
        <v>200</v>
      </c>
    </row>
    <row r="123" spans="1:7" x14ac:dyDescent="0.25">
      <c r="A123" t="s">
        <v>147</v>
      </c>
      <c r="B123" s="1">
        <v>45694</v>
      </c>
      <c r="C123" t="s">
        <v>11</v>
      </c>
      <c r="D123" t="s">
        <v>39</v>
      </c>
      <c r="E123">
        <v>8</v>
      </c>
      <c r="F123">
        <v>110</v>
      </c>
      <c r="G123">
        <v>880</v>
      </c>
    </row>
    <row r="124" spans="1:7" x14ac:dyDescent="0.25">
      <c r="A124" t="s">
        <v>148</v>
      </c>
      <c r="B124" s="1">
        <v>46016</v>
      </c>
      <c r="C124" t="s">
        <v>31</v>
      </c>
      <c r="D124" t="s">
        <v>62</v>
      </c>
      <c r="E124">
        <v>8</v>
      </c>
      <c r="F124">
        <v>30</v>
      </c>
      <c r="G124">
        <v>240</v>
      </c>
    </row>
    <row r="125" spans="1:7" x14ac:dyDescent="0.25">
      <c r="A125" t="s">
        <v>149</v>
      </c>
      <c r="B125" s="1">
        <v>45670</v>
      </c>
      <c r="C125" t="s">
        <v>18</v>
      </c>
      <c r="D125" t="s">
        <v>62</v>
      </c>
      <c r="E125">
        <v>3</v>
      </c>
      <c r="F125">
        <v>30</v>
      </c>
      <c r="G125">
        <v>90</v>
      </c>
    </row>
    <row r="126" spans="1:7" x14ac:dyDescent="0.25">
      <c r="A126" t="s">
        <v>150</v>
      </c>
      <c r="B126" s="1">
        <v>45896</v>
      </c>
      <c r="C126" t="s">
        <v>8</v>
      </c>
      <c r="D126" t="s">
        <v>53</v>
      </c>
      <c r="E126">
        <v>9</v>
      </c>
      <c r="F126">
        <v>28</v>
      </c>
      <c r="G126">
        <v>252</v>
      </c>
    </row>
    <row r="127" spans="1:7" x14ac:dyDescent="0.25">
      <c r="A127" t="s">
        <v>151</v>
      </c>
      <c r="B127" s="1">
        <v>46004</v>
      </c>
      <c r="C127" t="s">
        <v>18</v>
      </c>
      <c r="D127" t="s">
        <v>9</v>
      </c>
      <c r="E127">
        <v>2</v>
      </c>
      <c r="F127">
        <v>22</v>
      </c>
      <c r="G127">
        <v>44</v>
      </c>
    </row>
    <row r="128" spans="1:7" x14ac:dyDescent="0.25">
      <c r="A128" t="s">
        <v>152</v>
      </c>
      <c r="B128" s="1">
        <v>45986</v>
      </c>
      <c r="C128" t="s">
        <v>26</v>
      </c>
      <c r="D128" t="s">
        <v>12</v>
      </c>
      <c r="E128">
        <v>6</v>
      </c>
      <c r="F128">
        <v>275</v>
      </c>
      <c r="G128">
        <v>1650</v>
      </c>
    </row>
    <row r="129" spans="1:7" x14ac:dyDescent="0.25">
      <c r="A129" t="s">
        <v>153</v>
      </c>
      <c r="B129" s="1">
        <v>45668</v>
      </c>
      <c r="C129" t="s">
        <v>26</v>
      </c>
      <c r="D129" t="s">
        <v>24</v>
      </c>
      <c r="E129">
        <v>4</v>
      </c>
      <c r="F129">
        <v>15</v>
      </c>
      <c r="G129">
        <v>60</v>
      </c>
    </row>
    <row r="130" spans="1:7" x14ac:dyDescent="0.25">
      <c r="A130" t="s">
        <v>154</v>
      </c>
      <c r="B130" s="1">
        <v>45852</v>
      </c>
      <c r="C130" t="s">
        <v>11</v>
      </c>
      <c r="D130" t="s">
        <v>16</v>
      </c>
      <c r="E130">
        <v>10</v>
      </c>
      <c r="F130">
        <v>65</v>
      </c>
      <c r="G130">
        <v>650</v>
      </c>
    </row>
    <row r="131" spans="1:7" x14ac:dyDescent="0.25">
      <c r="A131" t="s">
        <v>155</v>
      </c>
      <c r="B131" s="1">
        <v>45836</v>
      </c>
      <c r="C131" t="s">
        <v>31</v>
      </c>
      <c r="D131" t="s">
        <v>12</v>
      </c>
      <c r="E131">
        <v>3</v>
      </c>
      <c r="F131">
        <v>275</v>
      </c>
      <c r="G131">
        <v>825</v>
      </c>
    </row>
    <row r="132" spans="1:7" x14ac:dyDescent="0.25">
      <c r="A132" t="s">
        <v>156</v>
      </c>
      <c r="B132" s="1">
        <v>45857</v>
      </c>
      <c r="C132" t="s">
        <v>26</v>
      </c>
      <c r="D132" t="s">
        <v>49</v>
      </c>
      <c r="E132">
        <v>5</v>
      </c>
      <c r="F132">
        <v>10</v>
      </c>
      <c r="G132">
        <v>50</v>
      </c>
    </row>
    <row r="133" spans="1:7" x14ac:dyDescent="0.25">
      <c r="A133" t="s">
        <v>157</v>
      </c>
      <c r="B133" s="1">
        <v>45950</v>
      </c>
      <c r="C133" t="s">
        <v>18</v>
      </c>
      <c r="D133" t="s">
        <v>24</v>
      </c>
      <c r="F133">
        <v>15</v>
      </c>
    </row>
    <row r="134" spans="1:7" x14ac:dyDescent="0.25">
      <c r="A134" t="s">
        <v>158</v>
      </c>
      <c r="B134" s="1">
        <v>45750</v>
      </c>
      <c r="C134" t="s">
        <v>8</v>
      </c>
      <c r="D134" t="s">
        <v>22</v>
      </c>
      <c r="E134">
        <v>5</v>
      </c>
      <c r="F134">
        <v>95</v>
      </c>
      <c r="G134">
        <v>475</v>
      </c>
    </row>
    <row r="135" spans="1:7" x14ac:dyDescent="0.25">
      <c r="A135" t="s">
        <v>159</v>
      </c>
      <c r="B135" s="1">
        <v>45934</v>
      </c>
      <c r="C135" t="s">
        <v>26</v>
      </c>
      <c r="D135" t="s">
        <v>33</v>
      </c>
      <c r="E135">
        <v>1</v>
      </c>
      <c r="F135">
        <v>12</v>
      </c>
      <c r="G135">
        <v>12</v>
      </c>
    </row>
    <row r="136" spans="1:7" x14ac:dyDescent="0.25">
      <c r="A136" t="s">
        <v>160</v>
      </c>
      <c r="B136" s="1">
        <v>45762</v>
      </c>
      <c r="C136" t="s">
        <v>11</v>
      </c>
      <c r="D136" t="s">
        <v>53</v>
      </c>
      <c r="E136">
        <v>5</v>
      </c>
      <c r="F136">
        <v>28</v>
      </c>
      <c r="G136">
        <v>140</v>
      </c>
    </row>
    <row r="137" spans="1:7" x14ac:dyDescent="0.25">
      <c r="A137" t="s">
        <v>161</v>
      </c>
      <c r="B137" s="1">
        <v>45799</v>
      </c>
      <c r="C137" t="s">
        <v>31</v>
      </c>
      <c r="D137" t="s">
        <v>9</v>
      </c>
      <c r="E137">
        <v>2</v>
      </c>
      <c r="F137">
        <v>22</v>
      </c>
      <c r="G137">
        <v>44</v>
      </c>
    </row>
    <row r="138" spans="1:7" x14ac:dyDescent="0.25">
      <c r="A138" t="s">
        <v>162</v>
      </c>
      <c r="B138" s="1">
        <v>45776</v>
      </c>
      <c r="C138" t="s">
        <v>8</v>
      </c>
      <c r="D138" t="s">
        <v>39</v>
      </c>
      <c r="E138">
        <v>1</v>
      </c>
      <c r="F138">
        <v>110</v>
      </c>
      <c r="G138">
        <v>110</v>
      </c>
    </row>
    <row r="139" spans="1:7" x14ac:dyDescent="0.25">
      <c r="A139" t="s">
        <v>163</v>
      </c>
      <c r="B139" s="1">
        <v>45874</v>
      </c>
      <c r="C139" t="s">
        <v>26</v>
      </c>
      <c r="D139" t="s">
        <v>20</v>
      </c>
      <c r="E139">
        <v>6</v>
      </c>
      <c r="F139">
        <v>85</v>
      </c>
      <c r="G139">
        <v>510</v>
      </c>
    </row>
    <row r="140" spans="1:7" x14ac:dyDescent="0.25">
      <c r="A140" t="s">
        <v>164</v>
      </c>
      <c r="B140" s="1">
        <v>45755</v>
      </c>
      <c r="C140" t="s">
        <v>18</v>
      </c>
      <c r="D140" t="s">
        <v>33</v>
      </c>
      <c r="E140">
        <v>7</v>
      </c>
      <c r="F140">
        <v>12</v>
      </c>
      <c r="G140">
        <v>84</v>
      </c>
    </row>
    <row r="141" spans="1:7" x14ac:dyDescent="0.25">
      <c r="A141" t="s">
        <v>165</v>
      </c>
      <c r="B141" s="1">
        <v>45785</v>
      </c>
      <c r="C141" t="s">
        <v>11</v>
      </c>
      <c r="D141" t="s">
        <v>53</v>
      </c>
      <c r="E141">
        <v>2</v>
      </c>
      <c r="F141">
        <v>28</v>
      </c>
      <c r="G141">
        <v>56</v>
      </c>
    </row>
    <row r="142" spans="1:7" x14ac:dyDescent="0.25">
      <c r="A142" t="s">
        <v>166</v>
      </c>
      <c r="B142" s="1">
        <v>45834</v>
      </c>
      <c r="C142" t="s">
        <v>31</v>
      </c>
      <c r="D142" t="s">
        <v>33</v>
      </c>
      <c r="F142">
        <v>12</v>
      </c>
    </row>
    <row r="143" spans="1:7" x14ac:dyDescent="0.25">
      <c r="A143" t="s">
        <v>167</v>
      </c>
      <c r="B143" s="1">
        <v>46014</v>
      </c>
      <c r="C143" t="s">
        <v>31</v>
      </c>
      <c r="D143" t="s">
        <v>24</v>
      </c>
      <c r="E143">
        <v>2</v>
      </c>
      <c r="F143">
        <v>15</v>
      </c>
      <c r="G143">
        <v>30</v>
      </c>
    </row>
    <row r="144" spans="1:7" x14ac:dyDescent="0.25">
      <c r="A144" t="s">
        <v>168</v>
      </c>
      <c r="B144" s="1">
        <v>45725</v>
      </c>
      <c r="C144" t="s">
        <v>18</v>
      </c>
      <c r="D144" t="s">
        <v>12</v>
      </c>
      <c r="E144">
        <v>7</v>
      </c>
      <c r="F144">
        <v>275</v>
      </c>
      <c r="G144">
        <v>1925</v>
      </c>
    </row>
    <row r="145" spans="1:7" x14ac:dyDescent="0.25">
      <c r="A145" t="s">
        <v>169</v>
      </c>
      <c r="B145" s="1">
        <v>45784</v>
      </c>
      <c r="C145" t="s">
        <v>8</v>
      </c>
      <c r="D145" t="s">
        <v>22</v>
      </c>
      <c r="E145">
        <v>2</v>
      </c>
      <c r="F145">
        <v>95</v>
      </c>
      <c r="G145">
        <v>190</v>
      </c>
    </row>
    <row r="146" spans="1:7" x14ac:dyDescent="0.25">
      <c r="A146" t="s">
        <v>170</v>
      </c>
      <c r="B146" s="1">
        <v>45924</v>
      </c>
      <c r="C146" t="s">
        <v>29</v>
      </c>
      <c r="D146" t="s">
        <v>24</v>
      </c>
      <c r="E146">
        <v>5</v>
      </c>
      <c r="F146">
        <v>15</v>
      </c>
      <c r="G146">
        <v>75</v>
      </c>
    </row>
    <row r="147" spans="1:7" x14ac:dyDescent="0.25">
      <c r="A147" t="s">
        <v>171</v>
      </c>
      <c r="B147" s="1">
        <v>46004</v>
      </c>
      <c r="C147" t="s">
        <v>18</v>
      </c>
      <c r="D147" t="s">
        <v>20</v>
      </c>
      <c r="E147">
        <v>7</v>
      </c>
      <c r="F147">
        <v>85</v>
      </c>
      <c r="G147">
        <v>595</v>
      </c>
    </row>
    <row r="148" spans="1:7" x14ac:dyDescent="0.25">
      <c r="A148" t="s">
        <v>172</v>
      </c>
      <c r="B148" s="1">
        <v>45878</v>
      </c>
      <c r="C148" t="s">
        <v>31</v>
      </c>
      <c r="D148" t="s">
        <v>62</v>
      </c>
      <c r="E148">
        <v>6</v>
      </c>
      <c r="F148">
        <v>30</v>
      </c>
      <c r="G148">
        <v>180</v>
      </c>
    </row>
    <row r="149" spans="1:7" x14ac:dyDescent="0.25">
      <c r="A149" t="s">
        <v>173</v>
      </c>
      <c r="B149" s="1">
        <v>45676</v>
      </c>
      <c r="C149" t="s">
        <v>26</v>
      </c>
      <c r="D149" t="s">
        <v>9</v>
      </c>
      <c r="E149">
        <v>9</v>
      </c>
      <c r="F149">
        <v>22</v>
      </c>
      <c r="G149">
        <v>198</v>
      </c>
    </row>
    <row r="150" spans="1:7" x14ac:dyDescent="0.25">
      <c r="A150" t="s">
        <v>174</v>
      </c>
      <c r="B150" s="1">
        <v>45983</v>
      </c>
      <c r="C150" t="s">
        <v>11</v>
      </c>
      <c r="D150" t="s">
        <v>51</v>
      </c>
      <c r="E150">
        <v>10</v>
      </c>
      <c r="F150">
        <v>15</v>
      </c>
      <c r="G150">
        <v>150</v>
      </c>
    </row>
    <row r="151" spans="1:7" x14ac:dyDescent="0.25">
      <c r="A151" t="s">
        <v>175</v>
      </c>
      <c r="B151" s="1">
        <v>45774</v>
      </c>
      <c r="C151" t="s">
        <v>8</v>
      </c>
      <c r="D151" t="s">
        <v>49</v>
      </c>
      <c r="E151">
        <v>5</v>
      </c>
      <c r="F151">
        <v>10</v>
      </c>
      <c r="G151">
        <v>50</v>
      </c>
    </row>
    <row r="152" spans="1:7" x14ac:dyDescent="0.25">
      <c r="A152" t="s">
        <v>176</v>
      </c>
      <c r="B152" s="1">
        <v>45734</v>
      </c>
      <c r="C152" t="s">
        <v>11</v>
      </c>
      <c r="D152" t="s">
        <v>33</v>
      </c>
      <c r="F152">
        <v>12</v>
      </c>
    </row>
    <row r="153" spans="1:7" x14ac:dyDescent="0.25">
      <c r="A153" t="s">
        <v>177</v>
      </c>
      <c r="B153" s="1">
        <v>45707</v>
      </c>
      <c r="C153" t="s">
        <v>26</v>
      </c>
      <c r="D153" t="s">
        <v>51</v>
      </c>
      <c r="E153">
        <v>7</v>
      </c>
      <c r="F153">
        <v>15</v>
      </c>
      <c r="G153">
        <v>105</v>
      </c>
    </row>
    <row r="154" spans="1:7" x14ac:dyDescent="0.25">
      <c r="A154" t="s">
        <v>178</v>
      </c>
      <c r="B154" s="1">
        <v>45723</v>
      </c>
      <c r="C154" t="s">
        <v>31</v>
      </c>
      <c r="D154" t="s">
        <v>9</v>
      </c>
      <c r="E154">
        <v>7</v>
      </c>
      <c r="F154">
        <v>22</v>
      </c>
      <c r="G154">
        <v>154</v>
      </c>
    </row>
    <row r="155" spans="1:7" x14ac:dyDescent="0.25">
      <c r="A155" t="s">
        <v>179</v>
      </c>
      <c r="B155" s="1">
        <v>45953</v>
      </c>
      <c r="C155" t="s">
        <v>18</v>
      </c>
      <c r="D155" t="s">
        <v>9</v>
      </c>
      <c r="E155">
        <v>10</v>
      </c>
      <c r="F155">
        <v>22</v>
      </c>
      <c r="G155">
        <v>220</v>
      </c>
    </row>
    <row r="156" spans="1:7" x14ac:dyDescent="0.25">
      <c r="A156" t="s">
        <v>180</v>
      </c>
      <c r="B156" s="1">
        <v>45735</v>
      </c>
      <c r="C156" t="s">
        <v>29</v>
      </c>
      <c r="D156" t="s">
        <v>51</v>
      </c>
      <c r="E156">
        <v>3</v>
      </c>
      <c r="F156">
        <v>15</v>
      </c>
      <c r="G156">
        <v>45</v>
      </c>
    </row>
    <row r="157" spans="1:7" x14ac:dyDescent="0.25">
      <c r="A157" t="s">
        <v>181</v>
      </c>
      <c r="B157" s="1">
        <v>45757</v>
      </c>
      <c r="C157" t="s">
        <v>29</v>
      </c>
      <c r="D157" t="s">
        <v>39</v>
      </c>
      <c r="E157">
        <v>2</v>
      </c>
      <c r="F157">
        <v>110</v>
      </c>
      <c r="G157">
        <v>220</v>
      </c>
    </row>
    <row r="158" spans="1:7" x14ac:dyDescent="0.25">
      <c r="A158" t="s">
        <v>182</v>
      </c>
      <c r="B158" s="1">
        <v>45823</v>
      </c>
      <c r="C158" t="s">
        <v>26</v>
      </c>
      <c r="D158" t="s">
        <v>53</v>
      </c>
      <c r="E158">
        <v>5</v>
      </c>
      <c r="F158">
        <v>28</v>
      </c>
      <c r="G158">
        <v>140</v>
      </c>
    </row>
    <row r="159" spans="1:7" x14ac:dyDescent="0.25">
      <c r="A159" t="s">
        <v>183</v>
      </c>
      <c r="B159" s="1">
        <v>45883</v>
      </c>
      <c r="C159" t="s">
        <v>11</v>
      </c>
      <c r="D159" t="s">
        <v>24</v>
      </c>
      <c r="E159">
        <v>5</v>
      </c>
      <c r="F159">
        <v>15</v>
      </c>
      <c r="G159">
        <v>75</v>
      </c>
    </row>
    <row r="160" spans="1:7" x14ac:dyDescent="0.25">
      <c r="A160" t="s">
        <v>184</v>
      </c>
      <c r="B160" s="1">
        <v>45963</v>
      </c>
      <c r="C160" t="s">
        <v>11</v>
      </c>
      <c r="D160" t="s">
        <v>14</v>
      </c>
      <c r="E160">
        <v>7</v>
      </c>
      <c r="F160">
        <v>20</v>
      </c>
      <c r="G160">
        <v>140</v>
      </c>
    </row>
    <row r="161" spans="1:7" x14ac:dyDescent="0.25">
      <c r="A161" t="s">
        <v>185</v>
      </c>
      <c r="B161" s="1">
        <v>45692</v>
      </c>
      <c r="C161" t="s">
        <v>18</v>
      </c>
      <c r="D161" t="s">
        <v>51</v>
      </c>
      <c r="E161">
        <v>10</v>
      </c>
      <c r="F161">
        <v>15</v>
      </c>
      <c r="G161">
        <v>150</v>
      </c>
    </row>
    <row r="162" spans="1:7" x14ac:dyDescent="0.25">
      <c r="A162" t="s">
        <v>186</v>
      </c>
      <c r="B162" s="1">
        <v>45740</v>
      </c>
      <c r="C162" t="s">
        <v>29</v>
      </c>
      <c r="D162" t="s">
        <v>9</v>
      </c>
      <c r="E162">
        <v>5</v>
      </c>
      <c r="F162">
        <v>22</v>
      </c>
      <c r="G162">
        <v>110</v>
      </c>
    </row>
    <row r="163" spans="1:7" x14ac:dyDescent="0.25">
      <c r="A163" t="s">
        <v>187</v>
      </c>
      <c r="B163" s="1">
        <v>45699</v>
      </c>
      <c r="C163" t="s">
        <v>31</v>
      </c>
      <c r="D163" t="s">
        <v>44</v>
      </c>
      <c r="E163">
        <v>10</v>
      </c>
      <c r="F163">
        <v>10</v>
      </c>
      <c r="G163">
        <v>100</v>
      </c>
    </row>
    <row r="164" spans="1:7" x14ac:dyDescent="0.25">
      <c r="A164" t="s">
        <v>188</v>
      </c>
      <c r="B164" s="1">
        <v>45795</v>
      </c>
      <c r="C164" t="s">
        <v>26</v>
      </c>
      <c r="D164" t="s">
        <v>53</v>
      </c>
      <c r="E164">
        <v>7</v>
      </c>
      <c r="F164">
        <v>28</v>
      </c>
      <c r="G164">
        <v>196</v>
      </c>
    </row>
    <row r="165" spans="1:7" x14ac:dyDescent="0.25">
      <c r="A165" t="s">
        <v>189</v>
      </c>
      <c r="B165" s="1">
        <v>45681</v>
      </c>
      <c r="C165" t="s">
        <v>11</v>
      </c>
      <c r="D165" t="s">
        <v>9</v>
      </c>
      <c r="E165">
        <v>5</v>
      </c>
      <c r="F165">
        <v>22</v>
      </c>
      <c r="G165">
        <v>110</v>
      </c>
    </row>
    <row r="166" spans="1:7" x14ac:dyDescent="0.25">
      <c r="A166" t="s">
        <v>190</v>
      </c>
      <c r="B166" s="1">
        <v>45718</v>
      </c>
      <c r="C166" t="s">
        <v>18</v>
      </c>
      <c r="D166" t="s">
        <v>27</v>
      </c>
      <c r="E166">
        <v>8</v>
      </c>
      <c r="F166">
        <v>18</v>
      </c>
      <c r="G166">
        <v>144</v>
      </c>
    </row>
    <row r="167" spans="1:7" x14ac:dyDescent="0.25">
      <c r="A167" t="s">
        <v>191</v>
      </c>
      <c r="B167" s="1">
        <v>45873</v>
      </c>
      <c r="C167" t="s">
        <v>11</v>
      </c>
      <c r="D167" t="s">
        <v>53</v>
      </c>
      <c r="E167">
        <v>1</v>
      </c>
      <c r="F167">
        <v>28</v>
      </c>
      <c r="G167">
        <v>28</v>
      </c>
    </row>
    <row r="168" spans="1:7" x14ac:dyDescent="0.25">
      <c r="A168" t="s">
        <v>192</v>
      </c>
      <c r="B168" s="1">
        <v>45683</v>
      </c>
      <c r="C168" t="s">
        <v>18</v>
      </c>
      <c r="D168" t="s">
        <v>22</v>
      </c>
      <c r="E168">
        <v>3</v>
      </c>
      <c r="F168">
        <v>95</v>
      </c>
      <c r="G168">
        <v>285</v>
      </c>
    </row>
    <row r="169" spans="1:7" x14ac:dyDescent="0.25">
      <c r="A169" t="s">
        <v>193</v>
      </c>
      <c r="B169" s="1">
        <v>45803</v>
      </c>
      <c r="C169" t="s">
        <v>26</v>
      </c>
      <c r="D169" t="s">
        <v>16</v>
      </c>
      <c r="E169">
        <v>10</v>
      </c>
      <c r="F169">
        <v>65</v>
      </c>
      <c r="G169">
        <v>650</v>
      </c>
    </row>
    <row r="170" spans="1:7" x14ac:dyDescent="0.25">
      <c r="A170" t="s">
        <v>194</v>
      </c>
      <c r="B170" s="1">
        <v>45958</v>
      </c>
      <c r="C170" t="s">
        <v>11</v>
      </c>
      <c r="D170" t="s">
        <v>39</v>
      </c>
      <c r="F170">
        <v>110</v>
      </c>
    </row>
    <row r="171" spans="1:7" x14ac:dyDescent="0.25">
      <c r="A171" t="s">
        <v>153</v>
      </c>
      <c r="B171" s="1">
        <v>45668</v>
      </c>
      <c r="C171" t="s">
        <v>26</v>
      </c>
      <c r="D171" t="s">
        <v>24</v>
      </c>
      <c r="E171">
        <v>4</v>
      </c>
      <c r="F171">
        <v>15</v>
      </c>
      <c r="G171">
        <v>60</v>
      </c>
    </row>
    <row r="172" spans="1:7" x14ac:dyDescent="0.25">
      <c r="A172" t="s">
        <v>195</v>
      </c>
      <c r="B172" s="1">
        <v>45679</v>
      </c>
      <c r="C172" t="s">
        <v>11</v>
      </c>
      <c r="D172" t="s">
        <v>27</v>
      </c>
      <c r="E172">
        <v>10</v>
      </c>
      <c r="F172">
        <v>18</v>
      </c>
      <c r="G172">
        <v>180</v>
      </c>
    </row>
    <row r="173" spans="1:7" x14ac:dyDescent="0.25">
      <c r="A173" t="s">
        <v>196</v>
      </c>
      <c r="B173" s="1">
        <v>45762</v>
      </c>
      <c r="C173" t="s">
        <v>8</v>
      </c>
      <c r="D173" t="s">
        <v>22</v>
      </c>
      <c r="E173">
        <v>1</v>
      </c>
      <c r="F173">
        <v>95</v>
      </c>
      <c r="G173">
        <v>95</v>
      </c>
    </row>
    <row r="174" spans="1:7" x14ac:dyDescent="0.25">
      <c r="A174" t="s">
        <v>197</v>
      </c>
      <c r="B174" s="1">
        <v>45877</v>
      </c>
      <c r="C174" t="s">
        <v>18</v>
      </c>
      <c r="D174" t="s">
        <v>12</v>
      </c>
      <c r="E174">
        <v>10</v>
      </c>
      <c r="F174">
        <v>275</v>
      </c>
      <c r="G174">
        <v>2750</v>
      </c>
    </row>
    <row r="175" spans="1:7" x14ac:dyDescent="0.25">
      <c r="A175" t="s">
        <v>198</v>
      </c>
      <c r="B175" s="1">
        <v>45891</v>
      </c>
      <c r="C175" t="s">
        <v>31</v>
      </c>
      <c r="D175" t="s">
        <v>42</v>
      </c>
      <c r="F175">
        <v>45</v>
      </c>
    </row>
    <row r="176" spans="1:7" x14ac:dyDescent="0.25">
      <c r="A176" t="s">
        <v>199</v>
      </c>
      <c r="B176" s="1">
        <v>46002</v>
      </c>
      <c r="C176" t="s">
        <v>29</v>
      </c>
      <c r="D176" t="s">
        <v>51</v>
      </c>
      <c r="E176">
        <v>4</v>
      </c>
      <c r="F176">
        <v>15</v>
      </c>
      <c r="G176">
        <v>60</v>
      </c>
    </row>
    <row r="177" spans="1:7" x14ac:dyDescent="0.25">
      <c r="A177" t="s">
        <v>200</v>
      </c>
      <c r="B177" s="1">
        <v>45984</v>
      </c>
      <c r="C177" t="s">
        <v>31</v>
      </c>
      <c r="D177" t="s">
        <v>39</v>
      </c>
      <c r="E177">
        <v>3</v>
      </c>
      <c r="F177">
        <v>110</v>
      </c>
      <c r="G177">
        <v>330</v>
      </c>
    </row>
    <row r="178" spans="1:7" x14ac:dyDescent="0.25">
      <c r="A178" t="s">
        <v>201</v>
      </c>
      <c r="B178" s="1">
        <v>45717</v>
      </c>
      <c r="C178" t="s">
        <v>8</v>
      </c>
      <c r="D178" t="s">
        <v>53</v>
      </c>
      <c r="E178">
        <v>1</v>
      </c>
      <c r="F178">
        <v>28</v>
      </c>
      <c r="G178">
        <v>28</v>
      </c>
    </row>
    <row r="179" spans="1:7" x14ac:dyDescent="0.25">
      <c r="A179" t="s">
        <v>202</v>
      </c>
      <c r="B179" s="1">
        <v>45992</v>
      </c>
      <c r="C179" t="s">
        <v>31</v>
      </c>
      <c r="D179" t="s">
        <v>39</v>
      </c>
      <c r="E179">
        <v>10</v>
      </c>
      <c r="F179">
        <v>110</v>
      </c>
      <c r="G179">
        <v>1100</v>
      </c>
    </row>
    <row r="180" spans="1:7" x14ac:dyDescent="0.25">
      <c r="A180" t="s">
        <v>203</v>
      </c>
      <c r="B180" s="1">
        <v>45857</v>
      </c>
      <c r="C180" t="s">
        <v>8</v>
      </c>
      <c r="D180" t="s">
        <v>33</v>
      </c>
      <c r="E180">
        <v>1</v>
      </c>
      <c r="F180">
        <v>12</v>
      </c>
      <c r="G180">
        <v>12</v>
      </c>
    </row>
    <row r="181" spans="1:7" x14ac:dyDescent="0.25">
      <c r="A181" t="s">
        <v>204</v>
      </c>
      <c r="B181" s="1">
        <v>45793</v>
      </c>
      <c r="C181" t="s">
        <v>8</v>
      </c>
      <c r="D181" t="s">
        <v>22</v>
      </c>
      <c r="E181">
        <v>3</v>
      </c>
      <c r="F181">
        <v>95</v>
      </c>
      <c r="G181">
        <v>285</v>
      </c>
    </row>
    <row r="182" spans="1:7" x14ac:dyDescent="0.25">
      <c r="A182" t="s">
        <v>205</v>
      </c>
      <c r="B182" s="1">
        <v>45694</v>
      </c>
      <c r="C182" t="s">
        <v>18</v>
      </c>
      <c r="D182" t="s">
        <v>24</v>
      </c>
      <c r="E182">
        <v>1</v>
      </c>
      <c r="F182">
        <v>15</v>
      </c>
      <c r="G182">
        <v>15</v>
      </c>
    </row>
    <row r="183" spans="1:7" x14ac:dyDescent="0.25">
      <c r="A183" t="s">
        <v>206</v>
      </c>
      <c r="B183" s="1">
        <v>45877</v>
      </c>
      <c r="C183" t="s">
        <v>8</v>
      </c>
      <c r="D183" t="s">
        <v>39</v>
      </c>
      <c r="E183">
        <v>10</v>
      </c>
      <c r="F183">
        <v>110</v>
      </c>
      <c r="G183">
        <v>1100</v>
      </c>
    </row>
    <row r="184" spans="1:7" x14ac:dyDescent="0.25">
      <c r="A184" t="s">
        <v>207</v>
      </c>
      <c r="B184" s="1">
        <v>45911</v>
      </c>
      <c r="C184" t="s">
        <v>8</v>
      </c>
      <c r="D184" t="s">
        <v>62</v>
      </c>
      <c r="E184">
        <v>7</v>
      </c>
      <c r="F184">
        <v>30</v>
      </c>
      <c r="G184">
        <v>210</v>
      </c>
    </row>
    <row r="185" spans="1:7" x14ac:dyDescent="0.25">
      <c r="A185" t="s">
        <v>208</v>
      </c>
      <c r="B185" s="1">
        <v>46001</v>
      </c>
      <c r="C185" t="s">
        <v>11</v>
      </c>
      <c r="D185" t="s">
        <v>39</v>
      </c>
      <c r="E185">
        <v>7</v>
      </c>
      <c r="F185">
        <v>110</v>
      </c>
      <c r="G185">
        <v>770</v>
      </c>
    </row>
    <row r="186" spans="1:7" x14ac:dyDescent="0.25">
      <c r="A186" t="s">
        <v>209</v>
      </c>
      <c r="B186" s="1">
        <v>45898</v>
      </c>
      <c r="C186" t="s">
        <v>8</v>
      </c>
      <c r="D186" t="s">
        <v>33</v>
      </c>
      <c r="E186">
        <v>2</v>
      </c>
      <c r="F186">
        <v>12</v>
      </c>
      <c r="G186">
        <v>24</v>
      </c>
    </row>
    <row r="187" spans="1:7" x14ac:dyDescent="0.25">
      <c r="A187" t="s">
        <v>210</v>
      </c>
      <c r="B187" s="1">
        <v>45966</v>
      </c>
      <c r="C187" t="s">
        <v>18</v>
      </c>
      <c r="D187" t="s">
        <v>24</v>
      </c>
      <c r="E187">
        <v>9</v>
      </c>
      <c r="F187">
        <v>15</v>
      </c>
      <c r="G187">
        <v>135</v>
      </c>
    </row>
    <row r="188" spans="1:7" x14ac:dyDescent="0.25">
      <c r="A188" t="s">
        <v>211</v>
      </c>
      <c r="B188" s="1">
        <v>45857</v>
      </c>
      <c r="C188" t="s">
        <v>26</v>
      </c>
      <c r="D188" t="s">
        <v>62</v>
      </c>
      <c r="E188">
        <v>7</v>
      </c>
      <c r="F188">
        <v>30</v>
      </c>
      <c r="G188">
        <v>210</v>
      </c>
    </row>
    <row r="189" spans="1:7" x14ac:dyDescent="0.25">
      <c r="A189" t="s">
        <v>212</v>
      </c>
      <c r="B189" s="1">
        <v>45759</v>
      </c>
      <c r="C189" t="s">
        <v>29</v>
      </c>
      <c r="D189" t="s">
        <v>42</v>
      </c>
      <c r="E189">
        <v>7</v>
      </c>
      <c r="F189">
        <v>45</v>
      </c>
      <c r="G189">
        <v>315</v>
      </c>
    </row>
    <row r="190" spans="1:7" x14ac:dyDescent="0.25">
      <c r="A190" t="s">
        <v>114</v>
      </c>
      <c r="B190" s="1">
        <v>45680</v>
      </c>
      <c r="C190" t="s">
        <v>11</v>
      </c>
      <c r="D190" t="s">
        <v>20</v>
      </c>
      <c r="E190">
        <v>5</v>
      </c>
      <c r="F190">
        <v>85</v>
      </c>
      <c r="G190">
        <v>425</v>
      </c>
    </row>
    <row r="191" spans="1:7" x14ac:dyDescent="0.25">
      <c r="A191" t="s">
        <v>213</v>
      </c>
      <c r="B191" s="1">
        <v>45797</v>
      </c>
      <c r="C191" t="s">
        <v>11</v>
      </c>
      <c r="D191" t="s">
        <v>39</v>
      </c>
      <c r="E191">
        <v>4</v>
      </c>
      <c r="F191">
        <v>110</v>
      </c>
      <c r="G191">
        <v>440</v>
      </c>
    </row>
    <row r="192" spans="1:7" x14ac:dyDescent="0.25">
      <c r="A192" t="s">
        <v>214</v>
      </c>
      <c r="B192" s="1">
        <v>46007</v>
      </c>
      <c r="C192" t="s">
        <v>29</v>
      </c>
      <c r="D192" t="s">
        <v>16</v>
      </c>
      <c r="E192">
        <v>2</v>
      </c>
      <c r="F192">
        <v>65</v>
      </c>
      <c r="G192">
        <v>130</v>
      </c>
    </row>
    <row r="193" spans="1:7" x14ac:dyDescent="0.25">
      <c r="A193" t="s">
        <v>215</v>
      </c>
      <c r="B193" s="1">
        <v>45826</v>
      </c>
      <c r="C193" t="s">
        <v>26</v>
      </c>
      <c r="D193" t="s">
        <v>62</v>
      </c>
      <c r="E193">
        <v>7</v>
      </c>
      <c r="F193">
        <v>30</v>
      </c>
      <c r="G193">
        <v>210</v>
      </c>
    </row>
    <row r="194" spans="1:7" x14ac:dyDescent="0.25">
      <c r="A194" t="s">
        <v>216</v>
      </c>
      <c r="B194" s="1">
        <v>45941</v>
      </c>
      <c r="C194" t="s">
        <v>29</v>
      </c>
      <c r="D194" t="s">
        <v>49</v>
      </c>
      <c r="E194">
        <v>8</v>
      </c>
      <c r="F194">
        <v>10</v>
      </c>
      <c r="G194">
        <v>80</v>
      </c>
    </row>
    <row r="195" spans="1:7" x14ac:dyDescent="0.25">
      <c r="A195" t="s">
        <v>217</v>
      </c>
      <c r="B195" s="1">
        <v>45991</v>
      </c>
      <c r="C195" t="s">
        <v>29</v>
      </c>
      <c r="D195" t="s">
        <v>24</v>
      </c>
      <c r="E195">
        <v>2</v>
      </c>
      <c r="F195">
        <v>15</v>
      </c>
      <c r="G195">
        <v>30</v>
      </c>
    </row>
    <row r="196" spans="1:7" x14ac:dyDescent="0.25">
      <c r="A196" t="s">
        <v>218</v>
      </c>
      <c r="B196" s="1">
        <v>45698</v>
      </c>
      <c r="C196" t="s">
        <v>26</v>
      </c>
      <c r="D196" t="s">
        <v>24</v>
      </c>
      <c r="E196">
        <v>10</v>
      </c>
      <c r="F196">
        <v>15</v>
      </c>
      <c r="G196">
        <v>150</v>
      </c>
    </row>
    <row r="197" spans="1:7" x14ac:dyDescent="0.25">
      <c r="A197" t="s">
        <v>219</v>
      </c>
      <c r="B197" s="1">
        <v>45940</v>
      </c>
      <c r="C197" t="s">
        <v>26</v>
      </c>
      <c r="D197" t="s">
        <v>42</v>
      </c>
      <c r="E197">
        <v>2</v>
      </c>
      <c r="F197">
        <v>45</v>
      </c>
      <c r="G197">
        <v>90</v>
      </c>
    </row>
    <row r="198" spans="1:7" x14ac:dyDescent="0.25">
      <c r="A198" t="s">
        <v>220</v>
      </c>
      <c r="B198" s="1">
        <v>45873</v>
      </c>
      <c r="C198" t="s">
        <v>29</v>
      </c>
      <c r="D198" t="s">
        <v>42</v>
      </c>
      <c r="E198">
        <v>5</v>
      </c>
      <c r="F198">
        <v>45</v>
      </c>
      <c r="G198">
        <v>225</v>
      </c>
    </row>
    <row r="199" spans="1:7" x14ac:dyDescent="0.25">
      <c r="A199" t="s">
        <v>221</v>
      </c>
      <c r="B199" s="1">
        <v>45959</v>
      </c>
      <c r="C199" t="s">
        <v>26</v>
      </c>
      <c r="D199" t="s">
        <v>53</v>
      </c>
      <c r="E199">
        <v>1</v>
      </c>
      <c r="F199">
        <v>28</v>
      </c>
      <c r="G199">
        <v>28</v>
      </c>
    </row>
    <row r="200" spans="1:7" x14ac:dyDescent="0.25">
      <c r="A200" t="s">
        <v>222</v>
      </c>
      <c r="B200" s="1">
        <v>45852</v>
      </c>
      <c r="C200" t="s">
        <v>31</v>
      </c>
      <c r="D200" t="s">
        <v>24</v>
      </c>
      <c r="E200">
        <v>9</v>
      </c>
      <c r="F200">
        <v>15</v>
      </c>
      <c r="G200">
        <v>135</v>
      </c>
    </row>
    <row r="201" spans="1:7" x14ac:dyDescent="0.25">
      <c r="A201" t="s">
        <v>223</v>
      </c>
      <c r="B201" s="1">
        <v>45996</v>
      </c>
      <c r="C201" t="s">
        <v>11</v>
      </c>
      <c r="D201" t="s">
        <v>62</v>
      </c>
      <c r="E201">
        <v>5</v>
      </c>
      <c r="F201">
        <v>30</v>
      </c>
      <c r="G201">
        <v>150</v>
      </c>
    </row>
    <row r="202" spans="1:7" x14ac:dyDescent="0.25">
      <c r="A202" t="s">
        <v>224</v>
      </c>
      <c r="B202" s="1">
        <v>45884</v>
      </c>
      <c r="C202" t="s">
        <v>31</v>
      </c>
      <c r="D202" t="s">
        <v>53</v>
      </c>
      <c r="E202">
        <v>8</v>
      </c>
      <c r="F202">
        <v>28</v>
      </c>
      <c r="G202">
        <v>224</v>
      </c>
    </row>
    <row r="203" spans="1:7" x14ac:dyDescent="0.25">
      <c r="A203" t="s">
        <v>225</v>
      </c>
      <c r="B203" s="1">
        <v>45878</v>
      </c>
      <c r="C203" t="s">
        <v>29</v>
      </c>
      <c r="D203" t="s">
        <v>39</v>
      </c>
      <c r="E203">
        <v>4</v>
      </c>
      <c r="F203">
        <v>110</v>
      </c>
      <c r="G203">
        <v>440</v>
      </c>
    </row>
    <row r="204" spans="1:7" x14ac:dyDescent="0.25">
      <c r="A204" t="s">
        <v>226</v>
      </c>
      <c r="B204" s="1">
        <v>45786</v>
      </c>
      <c r="C204" t="s">
        <v>8</v>
      </c>
      <c r="D204" t="s">
        <v>53</v>
      </c>
      <c r="E204">
        <v>10</v>
      </c>
      <c r="F204">
        <v>28</v>
      </c>
      <c r="G204">
        <v>280</v>
      </c>
    </row>
    <row r="205" spans="1:7" x14ac:dyDescent="0.25">
      <c r="A205" t="s">
        <v>227</v>
      </c>
      <c r="B205" s="1">
        <v>45897</v>
      </c>
      <c r="C205" t="s">
        <v>11</v>
      </c>
      <c r="D205" t="s">
        <v>42</v>
      </c>
      <c r="E205">
        <v>3</v>
      </c>
      <c r="F205">
        <v>45</v>
      </c>
      <c r="G205">
        <v>135</v>
      </c>
    </row>
    <row r="206" spans="1:7" x14ac:dyDescent="0.25">
      <c r="A206" t="s">
        <v>228</v>
      </c>
      <c r="B206" s="1">
        <v>45843</v>
      </c>
      <c r="C206" t="s">
        <v>26</v>
      </c>
      <c r="D206" t="s">
        <v>62</v>
      </c>
      <c r="E206">
        <v>9</v>
      </c>
      <c r="F206">
        <v>30</v>
      </c>
      <c r="G206">
        <v>270</v>
      </c>
    </row>
    <row r="207" spans="1:7" x14ac:dyDescent="0.25">
      <c r="A207" t="s">
        <v>229</v>
      </c>
      <c r="B207" s="1">
        <v>45739</v>
      </c>
      <c r="C207" t="s">
        <v>11</v>
      </c>
      <c r="D207" t="s">
        <v>24</v>
      </c>
      <c r="E207">
        <v>5</v>
      </c>
      <c r="F207">
        <v>15</v>
      </c>
      <c r="G207">
        <v>75</v>
      </c>
    </row>
    <row r="208" spans="1:7" x14ac:dyDescent="0.25">
      <c r="A208" t="s">
        <v>230</v>
      </c>
      <c r="B208" s="1">
        <v>45698</v>
      </c>
      <c r="C208" t="s">
        <v>26</v>
      </c>
      <c r="D208" t="s">
        <v>24</v>
      </c>
      <c r="E208">
        <v>5</v>
      </c>
      <c r="F208">
        <v>15</v>
      </c>
      <c r="G208">
        <v>75</v>
      </c>
    </row>
    <row r="209" spans="1:7" x14ac:dyDescent="0.25">
      <c r="A209" t="s">
        <v>231</v>
      </c>
      <c r="B209" s="1">
        <v>45712</v>
      </c>
      <c r="C209" t="s">
        <v>18</v>
      </c>
      <c r="D209" t="s">
        <v>9</v>
      </c>
      <c r="E209">
        <v>1</v>
      </c>
      <c r="F209">
        <v>22</v>
      </c>
      <c r="G209">
        <v>22</v>
      </c>
    </row>
    <row r="210" spans="1:7" x14ac:dyDescent="0.25">
      <c r="A210" t="s">
        <v>232</v>
      </c>
      <c r="B210" s="1">
        <v>45755</v>
      </c>
      <c r="C210" t="s">
        <v>31</v>
      </c>
      <c r="D210" t="s">
        <v>9</v>
      </c>
      <c r="E210">
        <v>7</v>
      </c>
      <c r="F210">
        <v>22</v>
      </c>
      <c r="G210">
        <v>154</v>
      </c>
    </row>
    <row r="211" spans="1:7" x14ac:dyDescent="0.25">
      <c r="A211" t="s">
        <v>233</v>
      </c>
      <c r="B211" s="1">
        <v>45784</v>
      </c>
      <c r="C211" t="s">
        <v>8</v>
      </c>
      <c r="D211" t="s">
        <v>27</v>
      </c>
      <c r="E211">
        <v>10</v>
      </c>
      <c r="F211">
        <v>18</v>
      </c>
      <c r="G211">
        <v>180</v>
      </c>
    </row>
  </sheetData>
  <mergeCells count="1">
    <mergeCell ref="I34:Q44"/>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438A63-9B44-4996-B45D-5BBF65A552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InstitutionalAssessment_transac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2026-05-30T02:53:43Z</dcterms:modified>
</cp:coreProperties>
</file>